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_Escenarios" sheetId="1" r:id="rId4"/>
    <sheet state="visible" name="PANEL DE CONTROL" sheetId="2" r:id="rId5"/>
    <sheet state="visible" name="Datos" sheetId="3" r:id="rId6"/>
    <sheet state="visible" name="Simulacion" sheetId="4" r:id="rId7"/>
    <sheet state="visible" name="Dashboard" sheetId="5" r:id="rId8"/>
    <sheet state="visible" name="Analisis Outliers" sheetId="6" r:id="rId9"/>
  </sheets>
  <definedNames/>
  <calcPr/>
  <extLst>
    <ext uri="GoogleSheetsCustomDataVersion2">
      <go:sheetsCustomData xmlns:go="http://customooxmlschemas.google.com/" r:id="rId10" roundtripDataChecksum="e1yIsqQD4aQ6cnImke2Uh8hIfaYCxDhpu2VPNa2dfiw="/>
    </ext>
  </extLst>
</workbook>
</file>

<file path=xl/sharedStrings.xml><?xml version="1.0" encoding="utf-8"?>
<sst xmlns="http://schemas.openxmlformats.org/spreadsheetml/2006/main" count="1048" uniqueCount="206">
  <si>
    <t>CONFIGURACION DE ESCENARIOS - BASE DE DATOS</t>
  </si>
  <si>
    <t>Escenario</t>
  </si>
  <si>
    <t>Max_C1</t>
  </si>
  <si>
    <t>Max_C2</t>
  </si>
  <si>
    <t>Max_C3</t>
  </si>
  <si>
    <t>Pen_DPD</t>
  </si>
  <si>
    <t>Pen_Util</t>
  </si>
  <si>
    <t>Bon_Pagos</t>
  </si>
  <si>
    <t>Bon_Antig</t>
  </si>
  <si>
    <t>P_MuyNuevo</t>
  </si>
  <si>
    <t>P_Nuevo</t>
  </si>
  <si>
    <t>P_Intermedio</t>
  </si>
  <si>
    <t>P_Establecido</t>
  </si>
  <si>
    <t>P_Maduro</t>
  </si>
  <si>
    <t>Descripcion</t>
  </si>
  <si>
    <t>Produccion</t>
  </si>
  <si>
    <t>Modelo actual sin ajustes</t>
  </si>
  <si>
    <t>Conservador</t>
  </si>
  <si>
    <t>Penaliza fuerte, premia poco</t>
  </si>
  <si>
    <t>Equilibrado</t>
  </si>
  <si>
    <t>Balance entre penalizaciones y bonificaciones</t>
  </si>
  <si>
    <t>Agresivo</t>
  </si>
  <si>
    <t>Bonificaciones altas, confianza en PLATAM</t>
  </si>
  <si>
    <t>Anti-Riesgo</t>
  </si>
  <si>
    <t>Maxima prudencia, depende de HCPN</t>
  </si>
  <si>
    <t>Pro-Crecimiento</t>
  </si>
  <si>
    <t>Favorece adquisicion de clientes</t>
  </si>
  <si>
    <t>SIMULADOR DE SCORING PLATAM V6.0</t>
  </si>
  <si>
    <t>ESCENARIO ACTIVO</t>
  </si>
  <si>
    <t>Cambia el escenario o edita valores individuales abajo</t>
  </si>
  <si>
    <t>MAXIMOS DE COMPONENTES</t>
  </si>
  <si>
    <t>KPIs EN TIEMPO REAL</t>
  </si>
  <si>
    <t>Componente</t>
  </si>
  <si>
    <t>Max Original</t>
  </si>
  <si>
    <t>Max Simulado</t>
  </si>
  <si>
    <t>% del Total</t>
  </si>
  <si>
    <t>Diferencia</t>
  </si>
  <si>
    <t>Impacto</t>
  </si>
  <si>
    <t>Payment Performance</t>
  </si>
  <si>
    <t>Payment Plan History</t>
  </si>
  <si>
    <t>Deterioration Velocity</t>
  </si>
  <si>
    <t>Total Clientes</t>
  </si>
  <si>
    <t>Score Base Prom</t>
  </si>
  <si>
    <t>TOTAL</t>
  </si>
  <si>
    <t>PENALIZACIONES Y BONIFICACIONES</t>
  </si>
  <si>
    <t>Tipo</t>
  </si>
  <si>
    <t>Concepto</t>
  </si>
  <si>
    <t>Condicion</t>
  </si>
  <si>
    <t>Puntos</t>
  </si>
  <si>
    <t>Afectados</t>
  </si>
  <si>
    <t>% Portfolio</t>
  </si>
  <si>
    <t>Impacto Pts</t>
  </si>
  <si>
    <t>Score Sim Prom</t>
  </si>
  <si>
    <t>Delta Promedio</t>
  </si>
  <si>
    <t>PENALIZA</t>
  </si>
  <si>
    <t>DPD &gt;30 dias</t>
  </si>
  <si>
    <t>DPD &gt; 30</t>
  </si>
  <si>
    <t>Utilizacion &gt;80%</t>
  </si>
  <si>
    <t>Util &gt; 80%</t>
  </si>
  <si>
    <t>BONIFICA</t>
  </si>
  <si>
    <t>&gt;90% a tiempo</t>
  </si>
  <si>
    <t>Late &lt; 10%</t>
  </si>
  <si>
    <t>Cliente &gt;24 meses</t>
  </si>
  <si>
    <t>Meses &gt; 24</t>
  </si>
  <si>
    <t>Mejoraron</t>
  </si>
  <si>
    <t>Empeoraron</t>
  </si>
  <si>
    <t>BALANCE NETO:</t>
  </si>
  <si>
    <t>PESOS DEL SISTEMA HIBRIDO (PLATAM vs HCPN)</t>
  </si>
  <si>
    <t>Categoria</t>
  </si>
  <si>
    <t>Meses</t>
  </si>
  <si>
    <t>Peso PLATAM</t>
  </si>
  <si>
    <t>Peso HCPN</t>
  </si>
  <si>
    <t>Clientes</t>
  </si>
  <si>
    <t>Ajuste Pagos</t>
  </si>
  <si>
    <t>Desv Std Base</t>
  </si>
  <si>
    <t>Desv Std Sim</t>
  </si>
  <si>
    <t>Muy Nuevo</t>
  </si>
  <si>
    <t>&lt; 3m</t>
  </si>
  <si>
    <t>+/-10% segun pagos</t>
  </si>
  <si>
    <t>Nuevo</t>
  </si>
  <si>
    <t>3-6m</t>
  </si>
  <si>
    <t>Intermedio</t>
  </si>
  <si>
    <t>6-12m</t>
  </si>
  <si>
    <t>Establecido</t>
  </si>
  <si>
    <t>12-24m</t>
  </si>
  <si>
    <t>Maduro</t>
  </si>
  <si>
    <t>&gt; 24m</t>
  </si>
  <si>
    <t>UMBRALES DE RATING</t>
  </si>
  <si>
    <t>Rating</t>
  </si>
  <si>
    <t>Score Min</t>
  </si>
  <si>
    <t>A+</t>
  </si>
  <si>
    <t>Excelente</t>
  </si>
  <si>
    <t>A</t>
  </si>
  <si>
    <t>Muy Bueno</t>
  </si>
  <si>
    <t>A-</t>
  </si>
  <si>
    <t>Bueno Superior</t>
  </si>
  <si>
    <t>B+</t>
  </si>
  <si>
    <t>Bueno</t>
  </si>
  <si>
    <t>B</t>
  </si>
  <si>
    <t>Aceptable Superior</t>
  </si>
  <si>
    <t>B-</t>
  </si>
  <si>
    <t>Aceptable</t>
  </si>
  <si>
    <t>C+</t>
  </si>
  <si>
    <t>Regular Superior</t>
  </si>
  <si>
    <t>C</t>
  </si>
  <si>
    <t>Regular</t>
  </si>
  <si>
    <t>C-</t>
  </si>
  <si>
    <t>Regular Bajo</t>
  </si>
  <si>
    <t>D+</t>
  </si>
  <si>
    <t>Deficiente Superior</t>
  </si>
  <si>
    <t>D</t>
  </si>
  <si>
    <t>Deficiente</t>
  </si>
  <si>
    <t>F</t>
  </si>
  <si>
    <t>Muy Deficiente</t>
  </si>
  <si>
    <t>cedula</t>
  </si>
  <si>
    <t>score_payment_performance</t>
  </si>
  <si>
    <t>score_payment_plan</t>
  </si>
  <si>
    <t>score_deterioration</t>
  </si>
  <si>
    <t>platam_score</t>
  </si>
  <si>
    <t>platam_rating</t>
  </si>
  <si>
    <t>experian_score_normalized</t>
  </si>
  <si>
    <t>hybrid_score</t>
  </si>
  <si>
    <t>hybrid_rating</t>
  </si>
  <si>
    <t>payment_id_count</t>
  </si>
  <si>
    <t>days_past_due_mean</t>
  </si>
  <si>
    <t>pct_late</t>
  </si>
  <si>
    <t>pct_utilization</t>
  </si>
  <si>
    <t>months_as_client</t>
  </si>
  <si>
    <t>categoria_madurez</t>
  </si>
  <si>
    <t>peso_platam_usado</t>
  </si>
  <si>
    <t>perfil_riesgo</t>
  </si>
  <si>
    <t>maduro</t>
  </si>
  <si>
    <t>excelente</t>
  </si>
  <si>
    <t>establecido</t>
  </si>
  <si>
    <t>intermedio</t>
  </si>
  <si>
    <t>bueno</t>
  </si>
  <si>
    <t>regular</t>
  </si>
  <si>
    <t>nuevo</t>
  </si>
  <si>
    <t>malo</t>
  </si>
  <si>
    <t>muy_nuevo</t>
  </si>
  <si>
    <t>outlier</t>
  </si>
  <si>
    <t>ID</t>
  </si>
  <si>
    <t>C1_Base</t>
  </si>
  <si>
    <t>C2_Base</t>
  </si>
  <si>
    <t>C3_Base</t>
  </si>
  <si>
    <t>C1_Sim</t>
  </si>
  <si>
    <t>C2_Sim</t>
  </si>
  <si>
    <t>C3_Sim</t>
  </si>
  <si>
    <t>Score_Comp</t>
  </si>
  <si>
    <t>Penaliz</t>
  </si>
  <si>
    <t>Bonif</t>
  </si>
  <si>
    <t>Score_PLATAM</t>
  </si>
  <si>
    <t>Score_HCPN</t>
  </si>
  <si>
    <t>Peso_Base</t>
  </si>
  <si>
    <t>Ajuste_Pago</t>
  </si>
  <si>
    <t>Peso_Final</t>
  </si>
  <si>
    <t>Score_Hibrido</t>
  </si>
  <si>
    <t>Rating_Sim</t>
  </si>
  <si>
    <t>Rating_Orig</t>
  </si>
  <si>
    <t>Delta_Score</t>
  </si>
  <si>
    <t>Cambio</t>
  </si>
  <si>
    <t>Perfil</t>
  </si>
  <si>
    <t>DASHBOARD DE ANALISIS - SIMULADOR SCORING PLATAM V6.0</t>
  </si>
  <si>
    <t>ESCENARIO:</t>
  </si>
  <si>
    <t>(Cambiar en Panel de Control)</t>
  </si>
  <si>
    <t>Score Promedio BASE</t>
  </si>
  <si>
    <t>Score Promedio SIMULADO</t>
  </si>
  <si>
    <t>Delta Prom</t>
  </si>
  <si>
    <t>Sin Cambio</t>
  </si>
  <si>
    <t>DISTRIBUCION DE RATINGS</t>
  </si>
  <si>
    <t>HCPN</t>
  </si>
  <si>
    <t>PLATAM_Sim</t>
  </si>
  <si>
    <t>Gap</t>
  </si>
  <si>
    <t>Original</t>
  </si>
  <si>
    <t>Simulado</t>
  </si>
  <si>
    <t>Neto</t>
  </si>
  <si>
    <t>IMPACTO POR PERFIL DE RIESGO</t>
  </si>
  <si>
    <t>Cantidad</t>
  </si>
  <si>
    <t>Score Base</t>
  </si>
  <si>
    <t>Score Sim</t>
  </si>
  <si>
    <t>Delta</t>
  </si>
  <si>
    <t>% Impacto</t>
  </si>
  <si>
    <t>EXCELENTE</t>
  </si>
  <si>
    <t>BUENO</t>
  </si>
  <si>
    <t>REGULAR</t>
  </si>
  <si>
    <t>MALO</t>
  </si>
  <si>
    <t>OUTLIER</t>
  </si>
  <si>
    <t>IMPACTO POR CATEGORIA DE MADUREZ</t>
  </si>
  <si>
    <t>DISTRIBUCION DEL CAMBIO</t>
  </si>
  <si>
    <t>Rango</t>
  </si>
  <si>
    <t>% Total</t>
  </si>
  <si>
    <t>Muy Positivo (&gt;50)</t>
  </si>
  <si>
    <t>Positivo (10 a 50)</t>
  </si>
  <si>
    <t>Neutral (-10 a 10)</t>
  </si>
  <si>
    <t>Negativo (-50 a -10)</t>
  </si>
  <si>
    <t>Muy Negativo (&lt;-50)</t>
  </si>
  <si>
    <t>ANALISIS DE OUTLIERS - DISCREPANCIA HCPN vs PLATAM</t>
  </si>
  <si>
    <t>Outliers: Clientes donde la diferencia entre HCPN (Experian) y Score PLATAM es mayor a 150 puntos</t>
  </si>
  <si>
    <t>PLATAM Sim</t>
  </si>
  <si>
    <t>Tipo Outlier</t>
  </si>
  <si>
    <t>Rating Base</t>
  </si>
  <si>
    <t>Rating Sim</t>
  </si>
  <si>
    <t>RESUMEN DE OUTLIERS:</t>
  </si>
  <si>
    <t>Total con Gap &gt; 150:</t>
  </si>
  <si>
    <t>HCPN &gt; PLATAM (Experian mejor):</t>
  </si>
  <si>
    <t>PLATAM &gt; HCPN (Interno mejor):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</si>
</sst>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b/>
      <sz val="16.0"/>
      <color rgb="FFFFFFFF"/>
      <name val="Cambria"/>
    </font>
    <font/>
    <font>
      <b/>
      <sz val="10.0"/>
      <color theme="1"/>
      <name val="Cambria"/>
    </font>
    <font>
      <sz val="11.0"/>
      <color theme="1"/>
      <name val="Calibri"/>
    </font>
    <font>
      <b/>
      <sz val="12.0"/>
      <color rgb="FFFFFFFF"/>
      <name val="Cambria"/>
    </font>
    <font>
      <b/>
      <sz val="14.0"/>
      <color rgb="FF0000FF"/>
      <name val="Cambria"/>
    </font>
    <font>
      <i/>
      <sz val="9.0"/>
      <color rgb="FF666666"/>
      <name val="Cambria"/>
    </font>
    <font>
      <b/>
      <sz val="11.0"/>
      <color theme="1"/>
      <name val="Cambria"/>
    </font>
    <font>
      <b/>
      <sz val="11.0"/>
      <color rgb="FF0000FF"/>
      <name val="Cambria"/>
    </font>
    <font>
      <b/>
      <sz val="20.0"/>
      <color theme="1"/>
      <name val="Cambria"/>
    </font>
    <font>
      <sz val="9.0"/>
      <color rgb="FF666666"/>
      <name val="Cambria"/>
    </font>
    <font>
      <b/>
      <sz val="20.0"/>
      <color rgb="FF0000FF"/>
      <name val="Cambria"/>
    </font>
    <font>
      <b/>
      <sz val="9.0"/>
      <color rgb="FFFFFFFF"/>
      <name val="Cambria"/>
    </font>
    <font>
      <b/>
      <sz val="20.0"/>
      <color rgb="FF00AA00"/>
      <name val="Cambria"/>
    </font>
    <font>
      <b/>
      <sz val="20.0"/>
      <color rgb="FFCC0000"/>
      <name val="Cambria"/>
    </font>
    <font>
      <b/>
      <sz val="14.0"/>
      <color theme="1"/>
      <name val="Cambria"/>
    </font>
    <font>
      <color theme="1"/>
      <name val="Calibri"/>
      <scheme val="minor"/>
    </font>
    <font>
      <b/>
      <sz val="16.0"/>
      <color theme="1"/>
      <name val="Cambria"/>
    </font>
    <font>
      <b/>
      <sz val="18.0"/>
      <color theme="1"/>
      <name val="Cambria"/>
    </font>
    <font>
      <b/>
      <sz val="18.0"/>
      <color rgb="FF0000FF"/>
      <name val="Cambria"/>
    </font>
    <font>
      <b/>
      <sz val="18.0"/>
      <color rgb="FF00AA00"/>
      <name val="Cambria"/>
    </font>
    <font>
      <b/>
      <sz val="18.0"/>
      <color rgb="FFCC0000"/>
      <name val="Cambria"/>
    </font>
    <font>
      <i/>
      <sz val="11.0"/>
      <color theme="1"/>
      <name val="Cambria"/>
    </font>
  </fonts>
  <fills count="11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D9D9D9"/>
        <bgColor rgb="FFD9D9D9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CCE5FF"/>
        <bgColor rgb="FFCCE5FF"/>
      </patternFill>
    </fill>
    <fill>
      <patternFill patternType="solid">
        <fgColor rgb="FF7030A0"/>
        <bgColor rgb="FF7030A0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ED7D31"/>
        <bgColor rgb="FFED7D31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/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/>
    </border>
    <border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0"/>
    </xf>
    <xf borderId="1" fillId="4" fontId="1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5" fillId="6" fontId="6" numFmtId="0" xfId="0" applyAlignment="1" applyBorder="1" applyFill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7" numFmtId="0" xfId="0" applyAlignment="1" applyFont="1">
      <alignment shrinkToFit="0" vertical="bottom" wrapText="0"/>
    </xf>
    <xf borderId="1" fillId="3" fontId="8" numFmtId="0" xfId="0" applyAlignment="1" applyBorder="1" applyFont="1">
      <alignment shrinkToFit="0" vertical="bottom" wrapText="0"/>
    </xf>
    <xf borderId="1" fillId="7" fontId="5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shrinkToFit="0" vertical="bottom" wrapText="0"/>
    </xf>
    <xf borderId="4" fillId="6" fontId="9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0" fontId="11" numFmtId="0" xfId="0" applyAlignment="1" applyFont="1">
      <alignment horizontal="center" shrinkToFit="0" vertical="center" wrapText="1"/>
    </xf>
    <xf borderId="4" fillId="0" fontId="3" numFmtId="0" xfId="0" applyAlignment="1" applyBorder="1" applyFont="1">
      <alignment shrinkToFit="0" vertical="bottom" wrapText="0"/>
    </xf>
    <xf borderId="8" fillId="0" fontId="12" numFmtId="0" xfId="0" applyAlignment="1" applyBorder="1" applyFont="1">
      <alignment horizontal="center" shrinkToFit="0" vertical="center" wrapText="1"/>
    </xf>
    <xf borderId="4" fillId="8" fontId="13" numFmtId="0" xfId="0" applyAlignment="1" applyBorder="1" applyFill="1" applyFont="1">
      <alignment horizontal="center" shrinkToFit="0" vertical="center" wrapText="1"/>
    </xf>
    <xf borderId="8" fillId="9" fontId="14" numFmtId="0" xfId="0" applyAlignment="1" applyBorder="1" applyFill="1" applyFont="1">
      <alignment horizontal="center" shrinkToFit="0" vertical="center" wrapText="1"/>
    </xf>
    <xf borderId="8" fillId="8" fontId="15" numFmtId="0" xfId="0" applyAlignment="1" applyBorder="1" applyFont="1">
      <alignment horizontal="center" shrinkToFit="0" vertical="center" wrapText="1"/>
    </xf>
    <xf borderId="4" fillId="9" fontId="1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7" numFmtId="0" xfId="0" applyFont="1"/>
    <xf borderId="8" fillId="0" fontId="18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shrinkToFit="0" vertical="bottom" wrapText="0"/>
    </xf>
    <xf borderId="5" fillId="6" fontId="6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8" fillId="0" fontId="19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8" fillId="0" fontId="20" numFmtId="0" xfId="0" applyAlignment="1" applyBorder="1" applyFont="1">
      <alignment horizontal="center" shrinkToFit="0" vertical="center" wrapText="1"/>
    </xf>
    <xf borderId="8" fillId="9" fontId="21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8" fillId="8" fontId="22" numFmtId="0" xfId="0" applyAlignment="1" applyBorder="1" applyFont="1">
      <alignment horizontal="center" shrinkToFit="0" vertical="center" wrapText="1"/>
    </xf>
    <xf borderId="8" fillId="0" fontId="16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3" fontId="3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10" fontId="1" numFmtId="0" xfId="0" applyAlignment="1" applyBorder="1" applyFill="1" applyFont="1">
      <alignment horizontal="center" shrinkToFit="0" vertical="center" wrapText="1"/>
    </xf>
    <xf borderId="0" fillId="0" fontId="23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Distribucion de Ratings: Original vs Simulado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Original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Dashboard!$A$11:$A$22</c:f>
            </c:strRef>
          </c:cat>
          <c:val>
            <c:numRef>
              <c:f>Dashboard!$B$11:$B$22</c:f>
              <c:numCache/>
            </c:numRef>
          </c:val>
        </c:ser>
        <c:ser>
          <c:idx val="1"/>
          <c:order val="1"/>
          <c:tx>
            <c:v>Simulado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cat>
            <c:strRef>
              <c:f>Dashboard!$A$11:$A$22</c:f>
            </c:strRef>
          </c:cat>
          <c:val>
            <c:numRef>
              <c:f>Dashboard!$C$11:$C$22</c:f>
              <c:numCache/>
            </c:numRef>
          </c:val>
        </c:ser>
        <c:axId val="536887893"/>
        <c:axId val="1768073901"/>
      </c:barChart>
      <c:catAx>
        <c:axId val="536887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68073901"/>
      </c:catAx>
      <c:valAx>
        <c:axId val="1768073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Cantidad Clientes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36887893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Correlacion: HCPN vs Score PLATAM Simulado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Clientes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8B855"/>
              </a:solidFill>
              <a:ln cmpd="sng">
                <a:solidFill>
                  <a:srgbClr val="98B855"/>
                </a:solidFill>
              </a:ln>
            </c:spPr>
          </c:marker>
          <c:xVal>
            <c:numRef>
              <c:f>Dashboard!$I$10:$I$209</c:f>
            </c:numRef>
          </c:xVal>
          <c:yVal>
            <c:numRef>
              <c:f>Dashboard!$J$10:$J$209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684276"/>
        <c:axId val="827557854"/>
      </c:scatterChart>
      <c:valAx>
        <c:axId val="4216842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Score HCPN (Experian)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27557854"/>
      </c:valAx>
      <c:valAx>
        <c:axId val="8275578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Score PLATAM Simulado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2168427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Delta Score por Perfil de Riesgo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Delta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Dashboard!$A$27:$A$31</c:f>
            </c:strRef>
          </c:cat>
          <c:val>
            <c:numRef>
              <c:f>Dashboard!$E$27:$E$31</c:f>
              <c:numCache/>
            </c:numRef>
          </c:val>
        </c:ser>
        <c:axId val="2037690488"/>
        <c:axId val="1627024341"/>
      </c:barChart>
      <c:catAx>
        <c:axId val="2037690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27024341"/>
      </c:catAx>
      <c:valAx>
        <c:axId val="1627024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Cambio en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3769048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Distribucion del Impacto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Dashboard!$B$42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Dashboard!$A$43:$A$47</c:f>
            </c:strRef>
          </c:cat>
          <c:val>
            <c:numRef>
              <c:f>Dashboard!$B$43:$B$47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9</xdr:row>
      <xdr:rowOff>76200</xdr:rowOff>
    </xdr:from>
    <xdr:ext cx="6143625" cy="3781425"/>
    <xdr:graphicFrame>
      <xdr:nvGraphicFramePr>
        <xdr:cNvPr id="167138410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723900</xdr:colOff>
      <xdr:row>31</xdr:row>
      <xdr:rowOff>76200</xdr:rowOff>
    </xdr:from>
    <xdr:ext cx="6143625" cy="3676650"/>
    <xdr:graphicFrame>
      <xdr:nvGraphicFramePr>
        <xdr:cNvPr id="212822959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723900</xdr:colOff>
      <xdr:row>52</xdr:row>
      <xdr:rowOff>28575</xdr:rowOff>
    </xdr:from>
    <xdr:ext cx="4791075" cy="2914650"/>
    <xdr:graphicFrame>
      <xdr:nvGraphicFramePr>
        <xdr:cNvPr id="1516730100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48</xdr:row>
      <xdr:rowOff>57150</xdr:rowOff>
    </xdr:from>
    <xdr:ext cx="4105275" cy="3781425"/>
    <xdr:graphicFrame>
      <xdr:nvGraphicFramePr>
        <xdr:cNvPr id="104947575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12.0"/>
    <col customWidth="1" min="14" max="14" width="35.0"/>
    <col customWidth="1" min="15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>
      <c r="A4" s="5" t="s">
        <v>15</v>
      </c>
      <c r="B4" s="5">
        <v>600.0</v>
      </c>
      <c r="C4" s="5">
        <v>150.0</v>
      </c>
      <c r="D4" s="5">
        <v>250.0</v>
      </c>
      <c r="E4" s="5">
        <v>0.0</v>
      </c>
      <c r="F4" s="5">
        <v>0.0</v>
      </c>
      <c r="G4" s="5">
        <v>0.0</v>
      </c>
      <c r="H4" s="5">
        <v>0.0</v>
      </c>
      <c r="I4" s="5">
        <v>0.3</v>
      </c>
      <c r="J4" s="5">
        <v>0.4</v>
      </c>
      <c r="K4" s="5">
        <v>0.5</v>
      </c>
      <c r="L4" s="5">
        <v>0.6</v>
      </c>
      <c r="M4" s="5">
        <v>0.7</v>
      </c>
      <c r="N4" s="6" t="s">
        <v>16</v>
      </c>
    </row>
    <row r="5">
      <c r="A5" s="5" t="s">
        <v>17</v>
      </c>
      <c r="B5" s="5">
        <v>650.0</v>
      </c>
      <c r="C5" s="5">
        <v>130.0</v>
      </c>
      <c r="D5" s="5">
        <v>220.0</v>
      </c>
      <c r="E5" s="5">
        <v>75.0</v>
      </c>
      <c r="F5" s="5">
        <v>40.0</v>
      </c>
      <c r="G5" s="5">
        <v>20.0</v>
      </c>
      <c r="H5" s="5">
        <v>20.0</v>
      </c>
      <c r="I5" s="5">
        <v>0.2</v>
      </c>
      <c r="J5" s="5">
        <v>0.3</v>
      </c>
      <c r="K5" s="5">
        <v>0.45</v>
      </c>
      <c r="L5" s="5">
        <v>0.55</v>
      </c>
      <c r="M5" s="5">
        <v>0.65</v>
      </c>
      <c r="N5" s="6" t="s">
        <v>18</v>
      </c>
    </row>
    <row r="6">
      <c r="A6" s="5" t="s">
        <v>19</v>
      </c>
      <c r="B6" s="5">
        <v>600.0</v>
      </c>
      <c r="C6" s="5">
        <v>150.0</v>
      </c>
      <c r="D6" s="5">
        <v>250.0</v>
      </c>
      <c r="E6" s="5">
        <v>50.0</v>
      </c>
      <c r="F6" s="5">
        <v>25.0</v>
      </c>
      <c r="G6" s="5">
        <v>30.0</v>
      </c>
      <c r="H6" s="5">
        <v>35.0</v>
      </c>
      <c r="I6" s="5">
        <v>0.3</v>
      </c>
      <c r="J6" s="5">
        <v>0.4</v>
      </c>
      <c r="K6" s="5">
        <v>0.5</v>
      </c>
      <c r="L6" s="5">
        <v>0.6</v>
      </c>
      <c r="M6" s="5">
        <v>0.7</v>
      </c>
      <c r="N6" s="6" t="s">
        <v>20</v>
      </c>
    </row>
    <row r="7">
      <c r="A7" s="5" t="s">
        <v>21</v>
      </c>
      <c r="B7" s="5">
        <v>550.0</v>
      </c>
      <c r="C7" s="5">
        <v>180.0</v>
      </c>
      <c r="D7" s="5">
        <v>270.0</v>
      </c>
      <c r="E7" s="5">
        <v>30.0</v>
      </c>
      <c r="F7" s="5">
        <v>15.0</v>
      </c>
      <c r="G7" s="5">
        <v>50.0</v>
      </c>
      <c r="H7" s="5">
        <v>50.0</v>
      </c>
      <c r="I7" s="5">
        <v>0.45</v>
      </c>
      <c r="J7" s="5">
        <v>0.55</v>
      </c>
      <c r="K7" s="5">
        <v>0.65</v>
      </c>
      <c r="L7" s="5">
        <v>0.75</v>
      </c>
      <c r="M7" s="5">
        <v>0.8</v>
      </c>
      <c r="N7" s="6" t="s">
        <v>22</v>
      </c>
    </row>
    <row r="8">
      <c r="A8" s="5" t="s">
        <v>23</v>
      </c>
      <c r="B8" s="5">
        <v>700.0</v>
      </c>
      <c r="C8" s="5">
        <v>120.0</v>
      </c>
      <c r="D8" s="5">
        <v>180.0</v>
      </c>
      <c r="E8" s="5">
        <v>100.0</v>
      </c>
      <c r="F8" s="5">
        <v>60.0</v>
      </c>
      <c r="G8" s="5">
        <v>15.0</v>
      </c>
      <c r="H8" s="5">
        <v>15.0</v>
      </c>
      <c r="I8" s="5">
        <v>0.15</v>
      </c>
      <c r="J8" s="5">
        <v>0.25</v>
      </c>
      <c r="K8" s="5">
        <v>0.4</v>
      </c>
      <c r="L8" s="5">
        <v>0.5</v>
      </c>
      <c r="M8" s="5">
        <v>0.6</v>
      </c>
      <c r="N8" s="6" t="s">
        <v>24</v>
      </c>
    </row>
    <row r="9">
      <c r="A9" s="5" t="s">
        <v>25</v>
      </c>
      <c r="B9" s="5">
        <v>550.0</v>
      </c>
      <c r="C9" s="5">
        <v>170.0</v>
      </c>
      <c r="D9" s="5">
        <v>280.0</v>
      </c>
      <c r="E9" s="5">
        <v>25.0</v>
      </c>
      <c r="F9" s="5">
        <v>10.0</v>
      </c>
      <c r="G9" s="5">
        <v>60.0</v>
      </c>
      <c r="H9" s="5">
        <v>60.0</v>
      </c>
      <c r="I9" s="5">
        <v>0.5</v>
      </c>
      <c r="J9" s="5">
        <v>0.6</v>
      </c>
      <c r="K9" s="5">
        <v>0.7</v>
      </c>
      <c r="L9" s="5">
        <v>0.75</v>
      </c>
      <c r="M9" s="5">
        <v>0.8</v>
      </c>
      <c r="N9" s="6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3" width="14.0"/>
    <col customWidth="1" min="4" max="7" width="12.0"/>
    <col customWidth="1" min="8" max="8" width="3.0"/>
    <col customWidth="1" min="9" max="12" width="12.0"/>
    <col customWidth="1" min="13" max="26" width="8.71"/>
  </cols>
  <sheetData>
    <row r="1" ht="39.75" customHeight="1">
      <c r="A1" s="7" t="s">
        <v>27</v>
      </c>
      <c r="B1" s="2"/>
      <c r="C1" s="2"/>
      <c r="D1" s="2"/>
      <c r="E1" s="2"/>
      <c r="F1" s="2"/>
      <c r="G1" s="2"/>
      <c r="H1" s="2"/>
      <c r="I1" s="2"/>
      <c r="J1" s="3"/>
    </row>
    <row r="3" ht="17.25" customHeight="1">
      <c r="A3" s="8" t="s">
        <v>28</v>
      </c>
      <c r="B3" s="2"/>
      <c r="C3" s="3"/>
      <c r="D3" s="9" t="s">
        <v>15</v>
      </c>
      <c r="E3" s="10"/>
      <c r="F3" s="11"/>
      <c r="G3" s="12" t="s">
        <v>29</v>
      </c>
    </row>
    <row r="5" ht="15.0" customHeight="1">
      <c r="A5" s="13" t="s">
        <v>30</v>
      </c>
      <c r="B5" s="2"/>
      <c r="C5" s="2"/>
      <c r="D5" s="2"/>
      <c r="E5" s="2"/>
      <c r="F5" s="3"/>
      <c r="I5" s="14" t="s">
        <v>31</v>
      </c>
      <c r="J5" s="2"/>
      <c r="K5" s="2"/>
      <c r="L5" s="3"/>
    </row>
    <row r="6">
      <c r="A6" s="4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</row>
    <row r="7">
      <c r="A7" s="15" t="s">
        <v>38</v>
      </c>
      <c r="B7" s="15">
        <v>600.0</v>
      </c>
      <c r="C7" s="16">
        <f>VLOOKUP($D$3,Config_Escenarios!$A$4:$N$9,2,FALSE())</f>
        <v>600</v>
      </c>
      <c r="D7" s="15">
        <f t="shared" ref="D7:D9" si="1">C7/$C$10</f>
        <v>0.6</v>
      </c>
      <c r="E7" s="15">
        <f t="shared" ref="E7:E9" si="2">C7-B7</f>
        <v>0</v>
      </c>
      <c r="F7" s="15" t="str">
        <f t="shared" ref="F7:F9" si="3">IF(E7&gt;0,"+ Peso",IF(E7&lt;0,"- Peso","Sin cambio"))</f>
        <v>Sin cambio</v>
      </c>
      <c r="I7" s="17">
        <f>COUNTA(Datos!A:A)-1</f>
        <v>200</v>
      </c>
      <c r="J7" s="18"/>
      <c r="K7" s="17">
        <f>ROUND(AVERAGE(Datos!H:H),1)</f>
        <v>649</v>
      </c>
      <c r="L7" s="18"/>
    </row>
    <row r="8">
      <c r="A8" s="15" t="s">
        <v>39</v>
      </c>
      <c r="B8" s="15">
        <v>150.0</v>
      </c>
      <c r="C8" s="16">
        <f>VLOOKUP($D$3,Config_Escenarios!$A$4:$N$9,3,FALSE())</f>
        <v>150</v>
      </c>
      <c r="D8" s="15">
        <f t="shared" si="1"/>
        <v>0.15</v>
      </c>
      <c r="E8" s="15">
        <f t="shared" si="2"/>
        <v>0</v>
      </c>
      <c r="F8" s="15" t="str">
        <f t="shared" si="3"/>
        <v>Sin cambio</v>
      </c>
      <c r="I8" s="19"/>
      <c r="J8" s="20"/>
      <c r="K8" s="19"/>
      <c r="L8" s="20"/>
    </row>
    <row r="9">
      <c r="A9" s="15" t="s">
        <v>40</v>
      </c>
      <c r="B9" s="15">
        <v>250.0</v>
      </c>
      <c r="C9" s="16">
        <f>VLOOKUP($D$3,Config_Escenarios!$A$4:$N$9,4,FALSE())</f>
        <v>250</v>
      </c>
      <c r="D9" s="15">
        <f t="shared" si="1"/>
        <v>0.25</v>
      </c>
      <c r="E9" s="15">
        <f t="shared" si="2"/>
        <v>0</v>
      </c>
      <c r="F9" s="15" t="str">
        <f t="shared" si="3"/>
        <v>Sin cambio</v>
      </c>
      <c r="I9" s="21" t="s">
        <v>41</v>
      </c>
      <c r="K9" s="21" t="s">
        <v>42</v>
      </c>
    </row>
    <row r="10">
      <c r="A10" s="22" t="s">
        <v>43</v>
      </c>
      <c r="B10" s="15">
        <v>1000.0</v>
      </c>
      <c r="C10" s="22">
        <f>C7+C8+C9</f>
        <v>1000</v>
      </c>
      <c r="D10" s="15">
        <f>C10/1000</f>
        <v>1</v>
      </c>
      <c r="E10" s="22" t="str">
        <f>IF(C10=1000,"OK","ERROR")</f>
        <v>OK</v>
      </c>
    </row>
    <row r="11">
      <c r="I11" s="23">
        <f>ROUND(AVERAGE(Simulacion!P:P),1)</f>
        <v>640.2</v>
      </c>
      <c r="J11" s="18"/>
      <c r="K11" s="17">
        <f>ROUND(I11-K7,1)</f>
        <v>-8.8</v>
      </c>
      <c r="L11" s="18"/>
    </row>
    <row r="12">
      <c r="A12" s="13" t="s">
        <v>44</v>
      </c>
      <c r="B12" s="2"/>
      <c r="C12" s="2"/>
      <c r="D12" s="2"/>
      <c r="E12" s="2"/>
      <c r="F12" s="2"/>
      <c r="G12" s="3"/>
      <c r="I12" s="19"/>
      <c r="J12" s="20"/>
      <c r="K12" s="19"/>
      <c r="L12" s="20"/>
    </row>
    <row r="13">
      <c r="A13" s="4" t="s">
        <v>45</v>
      </c>
      <c r="B13" s="4" t="s">
        <v>46</v>
      </c>
      <c r="C13" s="4" t="s">
        <v>47</v>
      </c>
      <c r="D13" s="4" t="s">
        <v>48</v>
      </c>
      <c r="E13" s="4" t="s">
        <v>49</v>
      </c>
      <c r="F13" s="4" t="s">
        <v>50</v>
      </c>
      <c r="G13" s="4" t="s">
        <v>51</v>
      </c>
      <c r="I13" s="21" t="s">
        <v>52</v>
      </c>
      <c r="K13" s="21" t="s">
        <v>53</v>
      </c>
    </row>
    <row r="14">
      <c r="A14" s="24" t="s">
        <v>54</v>
      </c>
      <c r="B14" s="5" t="s">
        <v>55</v>
      </c>
      <c r="C14" s="5" t="s">
        <v>56</v>
      </c>
      <c r="D14" s="16">
        <f>VLOOKUP($D$3,Config_Escenarios!$A$4:$N$9,5,FALSE())</f>
        <v>0</v>
      </c>
      <c r="E14" s="5">
        <f>COUNTIF(Datos!K:K,"&gt;30")</f>
        <v>77</v>
      </c>
      <c r="F14" s="5">
        <f t="shared" ref="F14:F17" si="4">E14/200</f>
        <v>0.385</v>
      </c>
      <c r="G14" s="5">
        <f t="shared" ref="G14:G15" si="5">-D14*E14</f>
        <v>0</v>
      </c>
    </row>
    <row r="15">
      <c r="A15" s="24" t="s">
        <v>54</v>
      </c>
      <c r="B15" s="5" t="s">
        <v>57</v>
      </c>
      <c r="C15" s="5" t="s">
        <v>58</v>
      </c>
      <c r="D15" s="16">
        <f>VLOOKUP($D$3,Config_Escenarios!$A$4:$N$9,6,FALSE())</f>
        <v>0</v>
      </c>
      <c r="E15" s="5">
        <f>COUNTIF(Datos!M:M,"&gt;80")</f>
        <v>53</v>
      </c>
      <c r="F15" s="5">
        <f t="shared" si="4"/>
        <v>0.265</v>
      </c>
      <c r="G15" s="5">
        <f t="shared" si="5"/>
        <v>0</v>
      </c>
      <c r="I15" s="25">
        <f>COUNTIF(Simulacion!T:T,"Mejora")</f>
        <v>26</v>
      </c>
      <c r="J15" s="18"/>
      <c r="K15" s="26">
        <f>COUNTIF(Simulacion!T:T,"Empeora")</f>
        <v>92</v>
      </c>
      <c r="L15" s="18"/>
    </row>
    <row r="16">
      <c r="A16" s="27" t="s">
        <v>59</v>
      </c>
      <c r="B16" s="5" t="s">
        <v>60</v>
      </c>
      <c r="C16" s="5" t="s">
        <v>61</v>
      </c>
      <c r="D16" s="16">
        <f>VLOOKUP($D$3,Config_Escenarios!$A$4:$N$9,7,FALSE())</f>
        <v>0</v>
      </c>
      <c r="E16" s="5">
        <f>COUNTIF(Datos!L:L,"&lt;10")</f>
        <v>72</v>
      </c>
      <c r="F16" s="5">
        <f t="shared" si="4"/>
        <v>0.36</v>
      </c>
      <c r="G16" s="5">
        <f t="shared" ref="G16:G17" si="6">D16*E16</f>
        <v>0</v>
      </c>
      <c r="I16" s="19"/>
      <c r="J16" s="20"/>
      <c r="K16" s="19"/>
      <c r="L16" s="20"/>
    </row>
    <row r="17">
      <c r="A17" s="27" t="s">
        <v>59</v>
      </c>
      <c r="B17" s="5" t="s">
        <v>62</v>
      </c>
      <c r="C17" s="5" t="s">
        <v>63</v>
      </c>
      <c r="D17" s="16">
        <f>VLOOKUP($D$3,Config_Escenarios!$A$4:$N$9,8,FALSE())</f>
        <v>0</v>
      </c>
      <c r="E17" s="5">
        <f>COUNTIF(Datos!N:N,"&gt;24")</f>
        <v>36</v>
      </c>
      <c r="F17" s="5">
        <f t="shared" si="4"/>
        <v>0.18</v>
      </c>
      <c r="G17" s="5">
        <f t="shared" si="6"/>
        <v>0</v>
      </c>
      <c r="I17" s="21" t="s">
        <v>64</v>
      </c>
      <c r="K17" s="21" t="s">
        <v>65</v>
      </c>
    </row>
    <row r="18">
      <c r="A18" s="28" t="s">
        <v>66</v>
      </c>
      <c r="B18" s="29">
        <f>G16+G17+G14+G15</f>
        <v>0</v>
      </c>
      <c r="C18" s="30" t="str">
        <f>IF(B18&gt;0,"Favorece portfolio",IF(B18&lt;0,"Castiga portfolio","Neutral"))</f>
        <v>Neutral</v>
      </c>
    </row>
    <row r="19">
      <c r="I19" s="31">
        <f>ROUND(STDEV(Datos!H:H),1)</f>
        <v>170.9</v>
      </c>
      <c r="J19" s="18"/>
      <c r="K19" s="31">
        <f>ROUND(STDEV(Simulacion!P:P),1)</f>
        <v>179.5</v>
      </c>
      <c r="L19" s="18"/>
    </row>
    <row r="20">
      <c r="A20" s="13" t="s">
        <v>67</v>
      </c>
      <c r="B20" s="2"/>
      <c r="C20" s="2"/>
      <c r="D20" s="2"/>
      <c r="E20" s="2"/>
      <c r="F20" s="2"/>
      <c r="G20" s="3"/>
      <c r="I20" s="19"/>
      <c r="J20" s="20"/>
      <c r="K20" s="19"/>
      <c r="L20" s="20"/>
    </row>
    <row r="21" ht="15.75" customHeight="1">
      <c r="A21" s="4" t="s">
        <v>68</v>
      </c>
      <c r="B21" s="4" t="s">
        <v>69</v>
      </c>
      <c r="C21" s="4" t="s">
        <v>70</v>
      </c>
      <c r="D21" s="4" t="s">
        <v>71</v>
      </c>
      <c r="E21" s="4" t="s">
        <v>72</v>
      </c>
      <c r="F21" s="4" t="s">
        <v>50</v>
      </c>
      <c r="G21" s="4" t="s">
        <v>73</v>
      </c>
      <c r="I21" s="21" t="s">
        <v>74</v>
      </c>
      <c r="K21" s="21" t="s">
        <v>75</v>
      </c>
    </row>
    <row r="22" ht="15.75" customHeight="1">
      <c r="A22" s="5" t="s">
        <v>76</v>
      </c>
      <c r="B22" s="5" t="s">
        <v>77</v>
      </c>
      <c r="C22" s="16">
        <f>VLOOKUP($D$3,Config_Escenarios!$A$4:$N$9,9,FALSE())</f>
        <v>0.3</v>
      </c>
      <c r="D22" s="5">
        <f t="shared" ref="D22:D26" si="7">1-C22</f>
        <v>0.7</v>
      </c>
      <c r="E22" s="5">
        <f>COUNTIF(Datos!O:O,"muy_nuevo")</f>
        <v>32</v>
      </c>
      <c r="F22" s="5">
        <f t="shared" ref="F22:F26" si="8">E22/200</f>
        <v>0.16</v>
      </c>
      <c r="G22" s="5" t="s">
        <v>78</v>
      </c>
    </row>
    <row r="23" ht="15.75" customHeight="1">
      <c r="A23" s="5" t="s">
        <v>79</v>
      </c>
      <c r="B23" s="5" t="s">
        <v>80</v>
      </c>
      <c r="C23" s="16">
        <f>VLOOKUP($D$3,Config_Escenarios!$A$4:$N$9,10,FALSE())</f>
        <v>0.4</v>
      </c>
      <c r="D23" s="5">
        <f t="shared" si="7"/>
        <v>0.6</v>
      </c>
      <c r="E23" s="5">
        <f>COUNTIF(Datos!O:O,"nuevo")</f>
        <v>52</v>
      </c>
      <c r="F23" s="5">
        <f t="shared" si="8"/>
        <v>0.26</v>
      </c>
      <c r="G23" s="5" t="s">
        <v>78</v>
      </c>
    </row>
    <row r="24" ht="15.75" customHeight="1">
      <c r="A24" s="5" t="s">
        <v>81</v>
      </c>
      <c r="B24" s="5" t="s">
        <v>82</v>
      </c>
      <c r="C24" s="16">
        <f>VLOOKUP($D$3,Config_Escenarios!$A$4:$N$9,11,FALSE())</f>
        <v>0.5</v>
      </c>
      <c r="D24" s="5">
        <f t="shared" si="7"/>
        <v>0.5</v>
      </c>
      <c r="E24" s="5">
        <f>COUNTIF(Datos!O:O,"intermedio")</f>
        <v>51</v>
      </c>
      <c r="F24" s="5">
        <f t="shared" si="8"/>
        <v>0.255</v>
      </c>
      <c r="G24" s="5" t="s">
        <v>78</v>
      </c>
    </row>
    <row r="25" ht="15.75" customHeight="1">
      <c r="A25" s="5" t="s">
        <v>83</v>
      </c>
      <c r="B25" s="5" t="s">
        <v>84</v>
      </c>
      <c r="C25" s="16">
        <f>VLOOKUP($D$3,Config_Escenarios!$A$4:$N$9,12,FALSE())</f>
        <v>0.6</v>
      </c>
      <c r="D25" s="5">
        <f t="shared" si="7"/>
        <v>0.4</v>
      </c>
      <c r="E25" s="5">
        <f>COUNTIF(Datos!O:O,"establecido")</f>
        <v>46</v>
      </c>
      <c r="F25" s="5">
        <f t="shared" si="8"/>
        <v>0.23</v>
      </c>
      <c r="G25" s="5" t="s">
        <v>78</v>
      </c>
    </row>
    <row r="26" ht="15.75" customHeight="1">
      <c r="A26" s="5" t="s">
        <v>85</v>
      </c>
      <c r="B26" s="5" t="s">
        <v>86</v>
      </c>
      <c r="C26" s="16">
        <f>VLOOKUP($D$3,Config_Escenarios!$A$4:$N$9,13,FALSE())</f>
        <v>0.7</v>
      </c>
      <c r="D26" s="5">
        <f t="shared" si="7"/>
        <v>0.3</v>
      </c>
      <c r="E26" s="5">
        <f>COUNTIF(Datos!O:O,"maduro")</f>
        <v>19</v>
      </c>
      <c r="F26" s="5">
        <f t="shared" si="8"/>
        <v>0.095</v>
      </c>
      <c r="G26" s="5" t="s">
        <v>78</v>
      </c>
    </row>
    <row r="27" ht="15.75" customHeight="1"/>
    <row r="28" ht="15.75" customHeight="1">
      <c r="A28" s="13" t="s">
        <v>87</v>
      </c>
      <c r="B28" s="2"/>
      <c r="C28" s="2"/>
      <c r="D28" s="3"/>
    </row>
    <row r="29" ht="15.75" customHeight="1">
      <c r="A29" s="32" t="s">
        <v>88</v>
      </c>
      <c r="B29" s="32" t="s">
        <v>89</v>
      </c>
      <c r="C29" s="32" t="s">
        <v>14</v>
      </c>
      <c r="D29" s="32" t="s">
        <v>72</v>
      </c>
    </row>
    <row r="30" ht="15.75" customHeight="1">
      <c r="A30" s="15" t="s">
        <v>90</v>
      </c>
      <c r="B30" s="16">
        <v>900.0</v>
      </c>
      <c r="C30" s="15" t="s">
        <v>91</v>
      </c>
      <c r="D30" s="15">
        <f>COUNTIF(Simulacion!Q:Q,"A+")</f>
        <v>24</v>
      </c>
    </row>
    <row r="31" ht="15.75" customHeight="1">
      <c r="A31" s="15" t="s">
        <v>92</v>
      </c>
      <c r="B31" s="16">
        <v>850.0</v>
      </c>
      <c r="C31" s="15" t="s">
        <v>93</v>
      </c>
      <c r="D31" s="15">
        <f>COUNTIF(Simulacion!Q:Q,"A")</f>
        <v>8</v>
      </c>
    </row>
    <row r="32" ht="15.75" customHeight="1">
      <c r="A32" s="15" t="s">
        <v>94</v>
      </c>
      <c r="B32" s="16">
        <v>800.0</v>
      </c>
      <c r="C32" s="15" t="s">
        <v>95</v>
      </c>
      <c r="D32" s="15">
        <f>COUNTIF(Simulacion!Q:Q,"A-")</f>
        <v>9</v>
      </c>
    </row>
    <row r="33" ht="15.75" customHeight="1">
      <c r="A33" s="15" t="s">
        <v>96</v>
      </c>
      <c r="B33" s="16">
        <v>750.0</v>
      </c>
      <c r="C33" s="15" t="s">
        <v>97</v>
      </c>
      <c r="D33" s="15">
        <f>COUNTIF(Simulacion!Q:Q,"B+")</f>
        <v>13</v>
      </c>
    </row>
    <row r="34" ht="15.75" customHeight="1">
      <c r="A34" s="15" t="s">
        <v>98</v>
      </c>
      <c r="B34" s="16">
        <v>700.0</v>
      </c>
      <c r="C34" s="15" t="s">
        <v>99</v>
      </c>
      <c r="D34" s="15">
        <f>COUNTIF(Simulacion!Q:Q,"B")</f>
        <v>18</v>
      </c>
    </row>
    <row r="35" ht="15.75" customHeight="1">
      <c r="A35" s="15" t="s">
        <v>100</v>
      </c>
      <c r="B35" s="16">
        <v>650.0</v>
      </c>
      <c r="C35" s="15" t="s">
        <v>101</v>
      </c>
      <c r="D35" s="15">
        <f>COUNTIF(Simulacion!Q:Q,"B-")</f>
        <v>13</v>
      </c>
    </row>
    <row r="36" ht="15.75" customHeight="1">
      <c r="A36" s="15" t="s">
        <v>102</v>
      </c>
      <c r="B36" s="16">
        <v>600.0</v>
      </c>
      <c r="C36" s="15" t="s">
        <v>103</v>
      </c>
      <c r="D36" s="15">
        <f>COUNTIF(Simulacion!Q:Q,"C+")</f>
        <v>18</v>
      </c>
    </row>
    <row r="37" ht="15.75" customHeight="1">
      <c r="A37" s="15" t="s">
        <v>104</v>
      </c>
      <c r="B37" s="16">
        <v>550.0</v>
      </c>
      <c r="C37" s="15" t="s">
        <v>105</v>
      </c>
      <c r="D37" s="15">
        <f>COUNTIF(Simulacion!Q:Q,"C")</f>
        <v>32</v>
      </c>
    </row>
    <row r="38" ht="15.75" customHeight="1">
      <c r="A38" s="15" t="s">
        <v>106</v>
      </c>
      <c r="B38" s="16">
        <v>500.0</v>
      </c>
      <c r="C38" s="15" t="s">
        <v>107</v>
      </c>
      <c r="D38" s="15">
        <f>COUNTIF(Simulacion!Q:Q,"C-")</f>
        <v>22</v>
      </c>
    </row>
    <row r="39" ht="15.75" customHeight="1">
      <c r="A39" s="15" t="s">
        <v>108</v>
      </c>
      <c r="B39" s="16">
        <v>450.0</v>
      </c>
      <c r="C39" s="15" t="s">
        <v>109</v>
      </c>
      <c r="D39" s="15">
        <f>COUNTIF(Simulacion!Q:Q,"D+")</f>
        <v>8</v>
      </c>
    </row>
    <row r="40" ht="15.75" customHeight="1">
      <c r="A40" s="15" t="s">
        <v>110</v>
      </c>
      <c r="B40" s="16">
        <v>400.0</v>
      </c>
      <c r="C40" s="15" t="s">
        <v>111</v>
      </c>
      <c r="D40" s="15">
        <f>COUNTIF(Simulacion!Q:Q,"D")</f>
        <v>16</v>
      </c>
    </row>
    <row r="41" ht="15.75" customHeight="1">
      <c r="A41" s="15" t="s">
        <v>112</v>
      </c>
      <c r="B41" s="16">
        <v>0.0</v>
      </c>
      <c r="C41" s="15" t="s">
        <v>113</v>
      </c>
      <c r="D41" s="15">
        <f>COUNTIF(Simulacion!Q:Q,"F")</f>
        <v>19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J1"/>
    <mergeCell ref="A3:C3"/>
    <mergeCell ref="D3:F3"/>
    <mergeCell ref="A5:F5"/>
    <mergeCell ref="I5:L5"/>
    <mergeCell ref="I7:J8"/>
    <mergeCell ref="K7:L8"/>
    <mergeCell ref="A20:G20"/>
    <mergeCell ref="A28:D28"/>
    <mergeCell ref="I11:J12"/>
    <mergeCell ref="K11:L12"/>
    <mergeCell ref="A12:G12"/>
    <mergeCell ref="I15:J16"/>
    <mergeCell ref="K15:L16"/>
    <mergeCell ref="I19:J20"/>
    <mergeCell ref="K19:L20"/>
  </mergeCells>
  <dataValidations>
    <dataValidation type="list" allowBlank="1" sqref="D3">
      <formula1>"Produccion,Conservador,Equilibrado,Agresivo,Anti-Riesgo,Pro-Crecimiento"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2" t="s">
        <v>114</v>
      </c>
      <c r="B1" s="32" t="s">
        <v>115</v>
      </c>
      <c r="C1" s="32" t="s">
        <v>116</v>
      </c>
      <c r="D1" s="32" t="s">
        <v>117</v>
      </c>
      <c r="E1" s="32" t="s">
        <v>118</v>
      </c>
      <c r="F1" s="32" t="s">
        <v>119</v>
      </c>
      <c r="G1" s="32" t="s">
        <v>120</v>
      </c>
      <c r="H1" s="32" t="s">
        <v>121</v>
      </c>
      <c r="I1" s="32" t="s">
        <v>122</v>
      </c>
      <c r="J1" s="32" t="s">
        <v>123</v>
      </c>
      <c r="K1" s="32" t="s">
        <v>124</v>
      </c>
      <c r="L1" s="32" t="s">
        <v>125</v>
      </c>
      <c r="M1" s="32" t="s">
        <v>126</v>
      </c>
      <c r="N1" s="32" t="s">
        <v>127</v>
      </c>
      <c r="O1" s="32" t="s">
        <v>128</v>
      </c>
      <c r="P1" s="32" t="s">
        <v>129</v>
      </c>
      <c r="Q1" s="32" t="s">
        <v>130</v>
      </c>
    </row>
    <row r="2">
      <c r="A2" s="30">
        <v>8.4865655E7</v>
      </c>
      <c r="B2" s="30">
        <v>600.0</v>
      </c>
      <c r="C2" s="30">
        <v>150.0</v>
      </c>
      <c r="D2" s="30">
        <v>250.0</v>
      </c>
      <c r="E2" s="30">
        <v>1000.0</v>
      </c>
      <c r="F2" s="30" t="s">
        <v>90</v>
      </c>
      <c r="G2" s="30">
        <v>895.92</v>
      </c>
      <c r="H2" s="30">
        <v>968.78</v>
      </c>
      <c r="I2" s="30" t="s">
        <v>90</v>
      </c>
      <c r="J2" s="30">
        <v>44.0</v>
      </c>
      <c r="K2" s="30">
        <v>-9.0</v>
      </c>
      <c r="L2" s="30">
        <v>1.2</v>
      </c>
      <c r="M2" s="30">
        <v>14.68</v>
      </c>
      <c r="N2" s="30">
        <v>48.0</v>
      </c>
      <c r="O2" s="30" t="s">
        <v>131</v>
      </c>
      <c r="P2" s="30">
        <v>0.7</v>
      </c>
      <c r="Q2" s="30" t="s">
        <v>132</v>
      </c>
    </row>
    <row r="3">
      <c r="A3" s="30">
        <v>3.9898663E7</v>
      </c>
      <c r="B3" s="30">
        <v>600.0</v>
      </c>
      <c r="C3" s="30">
        <v>150.0</v>
      </c>
      <c r="D3" s="30">
        <v>250.0</v>
      </c>
      <c r="E3" s="30">
        <v>1000.0</v>
      </c>
      <c r="F3" s="30" t="s">
        <v>90</v>
      </c>
      <c r="G3" s="30">
        <v>911.75</v>
      </c>
      <c r="H3" s="30">
        <v>964.7</v>
      </c>
      <c r="I3" s="30" t="s">
        <v>90</v>
      </c>
      <c r="J3" s="30">
        <v>48.0</v>
      </c>
      <c r="K3" s="30">
        <v>-0.9</v>
      </c>
      <c r="L3" s="30">
        <v>1.7</v>
      </c>
      <c r="M3" s="30">
        <v>15.45</v>
      </c>
      <c r="N3" s="30">
        <v>30.0</v>
      </c>
      <c r="O3" s="30" t="s">
        <v>133</v>
      </c>
      <c r="P3" s="30">
        <v>0.6</v>
      </c>
      <c r="Q3" s="30" t="s">
        <v>132</v>
      </c>
    </row>
    <row r="4">
      <c r="A4" s="30">
        <v>6.010645E7</v>
      </c>
      <c r="B4" s="30">
        <v>530.0</v>
      </c>
      <c r="C4" s="30">
        <v>150.0</v>
      </c>
      <c r="D4" s="30">
        <v>200.0</v>
      </c>
      <c r="E4" s="30">
        <v>880.0</v>
      </c>
      <c r="F4" s="30" t="s">
        <v>92</v>
      </c>
      <c r="G4" s="30">
        <v>928.52</v>
      </c>
      <c r="H4" s="30">
        <v>894.56</v>
      </c>
      <c r="I4" s="30" t="s">
        <v>92</v>
      </c>
      <c r="J4" s="30">
        <v>7.0</v>
      </c>
      <c r="K4" s="30">
        <v>-28.4</v>
      </c>
      <c r="L4" s="30">
        <v>7.8</v>
      </c>
      <c r="M4" s="30">
        <v>16.98</v>
      </c>
      <c r="N4" s="30">
        <v>36.0</v>
      </c>
      <c r="O4" s="30" t="s">
        <v>131</v>
      </c>
      <c r="P4" s="30">
        <v>0.7</v>
      </c>
      <c r="Q4" s="30" t="s">
        <v>132</v>
      </c>
    </row>
    <row r="5">
      <c r="A5" s="30">
        <v>3.4784923E7</v>
      </c>
      <c r="B5" s="30">
        <v>600.0</v>
      </c>
      <c r="C5" s="30">
        <v>150.0</v>
      </c>
      <c r="D5" s="30">
        <v>250.0</v>
      </c>
      <c r="E5" s="30">
        <v>1000.0</v>
      </c>
      <c r="F5" s="30" t="s">
        <v>90</v>
      </c>
      <c r="G5" s="30">
        <v>880.46</v>
      </c>
      <c r="H5" s="30">
        <v>964.14</v>
      </c>
      <c r="I5" s="30" t="s">
        <v>90</v>
      </c>
      <c r="J5" s="30">
        <v>24.0</v>
      </c>
      <c r="K5" s="30">
        <v>-29.5</v>
      </c>
      <c r="L5" s="30">
        <v>7.5</v>
      </c>
      <c r="M5" s="30">
        <v>26.9</v>
      </c>
      <c r="N5" s="30">
        <v>36.0</v>
      </c>
      <c r="O5" s="30" t="s">
        <v>131</v>
      </c>
      <c r="P5" s="30">
        <v>0.7</v>
      </c>
      <c r="Q5" s="30" t="s">
        <v>132</v>
      </c>
    </row>
    <row r="6">
      <c r="A6" s="30">
        <v>4.1431975E7</v>
      </c>
      <c r="B6" s="30">
        <v>530.0</v>
      </c>
      <c r="C6" s="30">
        <v>150.0</v>
      </c>
      <c r="D6" s="30">
        <v>250.0</v>
      </c>
      <c r="E6" s="30">
        <v>930.0</v>
      </c>
      <c r="F6" s="30" t="s">
        <v>90</v>
      </c>
      <c r="G6" s="30">
        <v>916.25</v>
      </c>
      <c r="H6" s="30">
        <v>925.88</v>
      </c>
      <c r="I6" s="30" t="s">
        <v>90</v>
      </c>
      <c r="J6" s="30">
        <v>10.0</v>
      </c>
      <c r="K6" s="30">
        <v>-0.8</v>
      </c>
      <c r="L6" s="30">
        <v>1.4</v>
      </c>
      <c r="M6" s="30">
        <v>21.73</v>
      </c>
      <c r="N6" s="30">
        <v>36.0</v>
      </c>
      <c r="O6" s="30" t="s">
        <v>131</v>
      </c>
      <c r="P6" s="30">
        <v>0.7</v>
      </c>
      <c r="Q6" s="30" t="s">
        <v>132</v>
      </c>
    </row>
    <row r="7">
      <c r="A7" s="30">
        <v>7.0333861E7</v>
      </c>
      <c r="B7" s="30">
        <v>530.0</v>
      </c>
      <c r="C7" s="30">
        <v>150.0</v>
      </c>
      <c r="D7" s="30">
        <v>200.0</v>
      </c>
      <c r="E7" s="30">
        <v>880.0</v>
      </c>
      <c r="F7" s="30" t="s">
        <v>92</v>
      </c>
      <c r="G7" s="30">
        <v>909.79</v>
      </c>
      <c r="H7" s="30">
        <v>891.92</v>
      </c>
      <c r="I7" s="30" t="s">
        <v>92</v>
      </c>
      <c r="J7" s="30">
        <v>12.0</v>
      </c>
      <c r="K7" s="30">
        <v>-0.5</v>
      </c>
      <c r="L7" s="30">
        <v>3.6</v>
      </c>
      <c r="M7" s="30">
        <v>21.85</v>
      </c>
      <c r="N7" s="30">
        <v>60.0</v>
      </c>
      <c r="O7" s="30" t="s">
        <v>133</v>
      </c>
      <c r="P7" s="30">
        <v>0.6</v>
      </c>
      <c r="Q7" s="30" t="s">
        <v>132</v>
      </c>
    </row>
    <row r="8">
      <c r="A8" s="30">
        <v>1.9016961E7</v>
      </c>
      <c r="B8" s="30">
        <v>600.0</v>
      </c>
      <c r="C8" s="30">
        <v>150.0</v>
      </c>
      <c r="D8" s="30">
        <v>250.0</v>
      </c>
      <c r="E8" s="30">
        <v>1000.0</v>
      </c>
      <c r="F8" s="30" t="s">
        <v>90</v>
      </c>
      <c r="G8" s="30">
        <v>885.68</v>
      </c>
      <c r="H8" s="30">
        <v>965.7</v>
      </c>
      <c r="I8" s="30" t="s">
        <v>90</v>
      </c>
      <c r="J8" s="30">
        <v>49.0</v>
      </c>
      <c r="K8" s="30">
        <v>-0.4</v>
      </c>
      <c r="L8" s="30">
        <v>6.0</v>
      </c>
      <c r="M8" s="30">
        <v>26.19</v>
      </c>
      <c r="N8" s="30">
        <v>60.0</v>
      </c>
      <c r="O8" s="30" t="s">
        <v>131</v>
      </c>
      <c r="P8" s="30">
        <v>0.7</v>
      </c>
      <c r="Q8" s="30" t="s">
        <v>132</v>
      </c>
    </row>
    <row r="9">
      <c r="A9" s="30">
        <v>1.2633705E7</v>
      </c>
      <c r="B9" s="30">
        <v>530.0</v>
      </c>
      <c r="C9" s="30">
        <v>150.0</v>
      </c>
      <c r="D9" s="30">
        <v>200.0</v>
      </c>
      <c r="E9" s="30">
        <v>880.0</v>
      </c>
      <c r="F9" s="30" t="s">
        <v>92</v>
      </c>
      <c r="G9" s="30">
        <v>851.41</v>
      </c>
      <c r="H9" s="30">
        <v>871.42</v>
      </c>
      <c r="I9" s="30" t="s">
        <v>92</v>
      </c>
      <c r="J9" s="30">
        <v>12.0</v>
      </c>
      <c r="K9" s="30">
        <v>4.5</v>
      </c>
      <c r="L9" s="30">
        <v>6.2</v>
      </c>
      <c r="M9" s="30">
        <v>15.96</v>
      </c>
      <c r="N9" s="30">
        <v>60.0</v>
      </c>
      <c r="O9" s="30" t="s">
        <v>131</v>
      </c>
      <c r="P9" s="30">
        <v>0.7</v>
      </c>
      <c r="Q9" s="30" t="s">
        <v>132</v>
      </c>
    </row>
    <row r="10">
      <c r="A10" s="30">
        <v>9.9166838E7</v>
      </c>
      <c r="B10" s="30">
        <v>600.0</v>
      </c>
      <c r="C10" s="30">
        <v>150.0</v>
      </c>
      <c r="D10" s="30">
        <v>200.0</v>
      </c>
      <c r="E10" s="30">
        <v>950.0</v>
      </c>
      <c r="F10" s="30" t="s">
        <v>90</v>
      </c>
      <c r="G10" s="30">
        <v>894.95</v>
      </c>
      <c r="H10" s="30">
        <v>933.48</v>
      </c>
      <c r="I10" s="30" t="s">
        <v>90</v>
      </c>
      <c r="J10" s="30">
        <v>27.0</v>
      </c>
      <c r="K10" s="30">
        <v>-17.5</v>
      </c>
      <c r="L10" s="30">
        <v>0.9</v>
      </c>
      <c r="M10" s="30">
        <v>35.89</v>
      </c>
      <c r="N10" s="30">
        <v>60.0</v>
      </c>
      <c r="O10" s="30" t="s">
        <v>131</v>
      </c>
      <c r="P10" s="30">
        <v>0.7</v>
      </c>
      <c r="Q10" s="30" t="s">
        <v>132</v>
      </c>
    </row>
    <row r="11">
      <c r="A11" s="30">
        <v>9.2217102E7</v>
      </c>
      <c r="B11" s="30">
        <v>600.0</v>
      </c>
      <c r="C11" s="30">
        <v>150.0</v>
      </c>
      <c r="D11" s="30">
        <v>250.0</v>
      </c>
      <c r="E11" s="30">
        <v>1000.0</v>
      </c>
      <c r="F11" s="30" t="s">
        <v>90</v>
      </c>
      <c r="G11" s="30">
        <v>921.32</v>
      </c>
      <c r="H11" s="30">
        <v>968.53</v>
      </c>
      <c r="I11" s="30" t="s">
        <v>90</v>
      </c>
      <c r="J11" s="30">
        <v>30.0</v>
      </c>
      <c r="K11" s="30">
        <v>-20.4</v>
      </c>
      <c r="L11" s="30">
        <v>4.5</v>
      </c>
      <c r="M11" s="30">
        <v>21.49</v>
      </c>
      <c r="N11" s="30">
        <v>48.0</v>
      </c>
      <c r="O11" s="30" t="s">
        <v>133</v>
      </c>
      <c r="P11" s="30">
        <v>0.6</v>
      </c>
      <c r="Q11" s="30" t="s">
        <v>132</v>
      </c>
    </row>
    <row r="12">
      <c r="A12" s="30">
        <v>1.1204918E7</v>
      </c>
      <c r="B12" s="30">
        <v>530.0</v>
      </c>
      <c r="C12" s="30">
        <v>150.0</v>
      </c>
      <c r="D12" s="30">
        <v>200.0</v>
      </c>
      <c r="E12" s="30">
        <v>880.0</v>
      </c>
      <c r="F12" s="30" t="s">
        <v>92</v>
      </c>
      <c r="G12" s="30">
        <v>853.14</v>
      </c>
      <c r="H12" s="30">
        <v>869.26</v>
      </c>
      <c r="I12" s="30" t="s">
        <v>92</v>
      </c>
      <c r="J12" s="30">
        <v>36.0</v>
      </c>
      <c r="K12" s="30">
        <v>-5.1</v>
      </c>
      <c r="L12" s="30">
        <v>0.9</v>
      </c>
      <c r="M12" s="30">
        <v>23.18</v>
      </c>
      <c r="N12" s="30">
        <v>48.0</v>
      </c>
      <c r="O12" s="30" t="s">
        <v>133</v>
      </c>
      <c r="P12" s="30">
        <v>0.6</v>
      </c>
      <c r="Q12" s="30" t="s">
        <v>132</v>
      </c>
    </row>
    <row r="13">
      <c r="A13" s="30">
        <v>2.3938272E7</v>
      </c>
      <c r="B13" s="30">
        <v>600.0</v>
      </c>
      <c r="C13" s="30">
        <v>150.0</v>
      </c>
      <c r="D13" s="30">
        <v>250.0</v>
      </c>
      <c r="E13" s="30">
        <v>1000.0</v>
      </c>
      <c r="F13" s="30" t="s">
        <v>90</v>
      </c>
      <c r="G13" s="30">
        <v>878.98</v>
      </c>
      <c r="H13" s="30">
        <v>963.69</v>
      </c>
      <c r="I13" s="30" t="s">
        <v>90</v>
      </c>
      <c r="J13" s="30">
        <v>6.0</v>
      </c>
      <c r="K13" s="30">
        <v>-11.1</v>
      </c>
      <c r="L13" s="30">
        <v>1.6</v>
      </c>
      <c r="M13" s="30">
        <v>38.29</v>
      </c>
      <c r="N13" s="30">
        <v>48.0</v>
      </c>
      <c r="O13" s="30" t="s">
        <v>131</v>
      </c>
      <c r="P13" s="30">
        <v>0.7</v>
      </c>
      <c r="Q13" s="30" t="s">
        <v>132</v>
      </c>
    </row>
    <row r="14">
      <c r="A14" s="30">
        <v>8.4500962E7</v>
      </c>
      <c r="B14" s="30">
        <v>600.0</v>
      </c>
      <c r="C14" s="30">
        <v>150.0</v>
      </c>
      <c r="D14" s="30">
        <v>200.0</v>
      </c>
      <c r="E14" s="30">
        <v>950.0</v>
      </c>
      <c r="F14" s="30" t="s">
        <v>90</v>
      </c>
      <c r="G14" s="30">
        <v>903.93</v>
      </c>
      <c r="H14" s="30">
        <v>931.57</v>
      </c>
      <c r="I14" s="30" t="s">
        <v>90</v>
      </c>
      <c r="J14" s="30">
        <v>32.0</v>
      </c>
      <c r="K14" s="30">
        <v>-14.0</v>
      </c>
      <c r="L14" s="30">
        <v>1.7</v>
      </c>
      <c r="M14" s="30">
        <v>22.5</v>
      </c>
      <c r="N14" s="30">
        <v>36.0</v>
      </c>
      <c r="O14" s="30" t="s">
        <v>133</v>
      </c>
      <c r="P14" s="30">
        <v>0.6</v>
      </c>
      <c r="Q14" s="30" t="s">
        <v>132</v>
      </c>
    </row>
    <row r="15">
      <c r="A15" s="30">
        <v>5.6793551E7</v>
      </c>
      <c r="B15" s="30">
        <v>600.0</v>
      </c>
      <c r="C15" s="30">
        <v>150.0</v>
      </c>
      <c r="D15" s="30">
        <v>200.0</v>
      </c>
      <c r="E15" s="30">
        <v>950.0</v>
      </c>
      <c r="F15" s="30" t="s">
        <v>90</v>
      </c>
      <c r="G15" s="30">
        <v>850.7</v>
      </c>
      <c r="H15" s="30">
        <v>920.21</v>
      </c>
      <c r="I15" s="30" t="s">
        <v>90</v>
      </c>
      <c r="J15" s="30">
        <v>13.0</v>
      </c>
      <c r="K15" s="30">
        <v>-7.3</v>
      </c>
      <c r="L15" s="30">
        <v>0.0</v>
      </c>
      <c r="M15" s="30">
        <v>20.58</v>
      </c>
      <c r="N15" s="30">
        <v>48.0</v>
      </c>
      <c r="O15" s="30" t="s">
        <v>131</v>
      </c>
      <c r="P15" s="30">
        <v>0.7</v>
      </c>
      <c r="Q15" s="30" t="s">
        <v>132</v>
      </c>
    </row>
    <row r="16">
      <c r="A16" s="30">
        <v>6.9658225E7</v>
      </c>
      <c r="B16" s="30">
        <v>600.0</v>
      </c>
      <c r="C16" s="30">
        <v>150.0</v>
      </c>
      <c r="D16" s="30">
        <v>200.0</v>
      </c>
      <c r="E16" s="30">
        <v>950.0</v>
      </c>
      <c r="F16" s="30" t="s">
        <v>90</v>
      </c>
      <c r="G16" s="30">
        <v>920.3</v>
      </c>
      <c r="H16" s="30">
        <v>941.09</v>
      </c>
      <c r="I16" s="30" t="s">
        <v>90</v>
      </c>
      <c r="J16" s="30">
        <v>16.0</v>
      </c>
      <c r="K16" s="30">
        <v>-21.5</v>
      </c>
      <c r="L16" s="30">
        <v>1.3</v>
      </c>
      <c r="M16" s="30">
        <v>16.56</v>
      </c>
      <c r="N16" s="30">
        <v>60.0</v>
      </c>
      <c r="O16" s="30" t="s">
        <v>131</v>
      </c>
      <c r="P16" s="30">
        <v>0.7</v>
      </c>
      <c r="Q16" s="30" t="s">
        <v>132</v>
      </c>
    </row>
    <row r="17">
      <c r="A17" s="30">
        <v>2.8567316E7</v>
      </c>
      <c r="B17" s="30">
        <v>530.0</v>
      </c>
      <c r="C17" s="30">
        <v>150.0</v>
      </c>
      <c r="D17" s="30">
        <v>200.0</v>
      </c>
      <c r="E17" s="30">
        <v>880.0</v>
      </c>
      <c r="F17" s="30" t="s">
        <v>92</v>
      </c>
      <c r="G17" s="30">
        <v>891.1</v>
      </c>
      <c r="H17" s="30">
        <v>883.33</v>
      </c>
      <c r="I17" s="30" t="s">
        <v>92</v>
      </c>
      <c r="J17" s="30">
        <v>36.0</v>
      </c>
      <c r="K17" s="30">
        <v>-20.0</v>
      </c>
      <c r="L17" s="30">
        <v>0.3</v>
      </c>
      <c r="M17" s="30">
        <v>28.29</v>
      </c>
      <c r="N17" s="30">
        <v>36.0</v>
      </c>
      <c r="O17" s="30" t="s">
        <v>131</v>
      </c>
      <c r="P17" s="30">
        <v>0.7</v>
      </c>
      <c r="Q17" s="30" t="s">
        <v>132</v>
      </c>
    </row>
    <row r="18">
      <c r="A18" s="30">
        <v>6.1860758E7</v>
      </c>
      <c r="B18" s="30">
        <v>600.0</v>
      </c>
      <c r="C18" s="30">
        <v>150.0</v>
      </c>
      <c r="D18" s="30">
        <v>200.0</v>
      </c>
      <c r="E18" s="30">
        <v>950.0</v>
      </c>
      <c r="F18" s="30" t="s">
        <v>90</v>
      </c>
      <c r="G18" s="30">
        <v>858.09</v>
      </c>
      <c r="H18" s="30">
        <v>922.43</v>
      </c>
      <c r="I18" s="30" t="s">
        <v>90</v>
      </c>
      <c r="J18" s="30">
        <v>21.0</v>
      </c>
      <c r="K18" s="30">
        <v>-12.9</v>
      </c>
      <c r="L18" s="30">
        <v>7.9</v>
      </c>
      <c r="M18" s="30">
        <v>17.26</v>
      </c>
      <c r="N18" s="30">
        <v>60.0</v>
      </c>
      <c r="O18" s="30" t="s">
        <v>131</v>
      </c>
      <c r="P18" s="30">
        <v>0.7</v>
      </c>
      <c r="Q18" s="30" t="s">
        <v>132</v>
      </c>
    </row>
    <row r="19">
      <c r="A19" s="30">
        <v>5.3536856E7</v>
      </c>
      <c r="B19" s="30">
        <v>600.0</v>
      </c>
      <c r="C19" s="30">
        <v>150.0</v>
      </c>
      <c r="D19" s="30">
        <v>250.0</v>
      </c>
      <c r="E19" s="30">
        <v>1000.0</v>
      </c>
      <c r="F19" s="30" t="s">
        <v>90</v>
      </c>
      <c r="G19" s="30">
        <v>865.07</v>
      </c>
      <c r="H19" s="30">
        <v>959.52</v>
      </c>
      <c r="I19" s="30" t="s">
        <v>90</v>
      </c>
      <c r="J19" s="30">
        <v>20.0</v>
      </c>
      <c r="K19" s="30">
        <v>-7.8</v>
      </c>
      <c r="L19" s="30">
        <v>4.3</v>
      </c>
      <c r="M19" s="30">
        <v>12.71</v>
      </c>
      <c r="N19" s="30">
        <v>30.0</v>
      </c>
      <c r="O19" s="30" t="s">
        <v>131</v>
      </c>
      <c r="P19" s="30">
        <v>0.7</v>
      </c>
      <c r="Q19" s="30" t="s">
        <v>132</v>
      </c>
    </row>
    <row r="20">
      <c r="A20" s="30">
        <v>7.811306E7</v>
      </c>
      <c r="B20" s="30">
        <v>530.0</v>
      </c>
      <c r="C20" s="30">
        <v>150.0</v>
      </c>
      <c r="D20" s="30">
        <v>250.0</v>
      </c>
      <c r="E20" s="30">
        <v>930.0</v>
      </c>
      <c r="F20" s="30" t="s">
        <v>90</v>
      </c>
      <c r="G20" s="30">
        <v>859.62</v>
      </c>
      <c r="H20" s="30">
        <v>901.85</v>
      </c>
      <c r="I20" s="30" t="s">
        <v>90</v>
      </c>
      <c r="J20" s="30">
        <v>44.0</v>
      </c>
      <c r="K20" s="30">
        <v>-29.4</v>
      </c>
      <c r="L20" s="30">
        <v>4.1</v>
      </c>
      <c r="M20" s="30">
        <v>16.79</v>
      </c>
      <c r="N20" s="30">
        <v>60.0</v>
      </c>
      <c r="O20" s="30" t="s">
        <v>133</v>
      </c>
      <c r="P20" s="30">
        <v>0.6</v>
      </c>
      <c r="Q20" s="30" t="s">
        <v>132</v>
      </c>
    </row>
    <row r="21" ht="15.75" customHeight="1">
      <c r="A21" s="30">
        <v>4.6461125E7</v>
      </c>
      <c r="B21" s="30">
        <v>600.0</v>
      </c>
      <c r="C21" s="30">
        <v>150.0</v>
      </c>
      <c r="D21" s="30">
        <v>200.0</v>
      </c>
      <c r="E21" s="30">
        <v>950.0</v>
      </c>
      <c r="F21" s="30" t="s">
        <v>90</v>
      </c>
      <c r="G21" s="30">
        <v>919.58</v>
      </c>
      <c r="H21" s="30">
        <v>940.87</v>
      </c>
      <c r="I21" s="30" t="s">
        <v>90</v>
      </c>
      <c r="J21" s="30">
        <v>20.0</v>
      </c>
      <c r="K21" s="30">
        <v>-18.1</v>
      </c>
      <c r="L21" s="30">
        <v>0.9</v>
      </c>
      <c r="M21" s="30">
        <v>37.74</v>
      </c>
      <c r="N21" s="30">
        <v>36.0</v>
      </c>
      <c r="O21" s="30" t="s">
        <v>131</v>
      </c>
      <c r="P21" s="30">
        <v>0.7</v>
      </c>
      <c r="Q21" s="30" t="s">
        <v>132</v>
      </c>
    </row>
    <row r="22" ht="15.75" customHeight="1">
      <c r="A22" s="30">
        <v>7.0517387E7</v>
      </c>
      <c r="B22" s="30">
        <v>600.0</v>
      </c>
      <c r="C22" s="30">
        <v>150.0</v>
      </c>
      <c r="D22" s="30">
        <v>250.0</v>
      </c>
      <c r="E22" s="30">
        <v>1000.0</v>
      </c>
      <c r="F22" s="30" t="s">
        <v>90</v>
      </c>
      <c r="G22" s="30">
        <v>938.26</v>
      </c>
      <c r="H22" s="30">
        <v>981.48</v>
      </c>
      <c r="I22" s="30" t="s">
        <v>90</v>
      </c>
      <c r="J22" s="30">
        <v>45.0</v>
      </c>
      <c r="K22" s="30">
        <v>-21.5</v>
      </c>
      <c r="L22" s="30">
        <v>0.7</v>
      </c>
      <c r="M22" s="30">
        <v>36.92</v>
      </c>
      <c r="N22" s="30">
        <v>30.0</v>
      </c>
      <c r="O22" s="30" t="s">
        <v>131</v>
      </c>
      <c r="P22" s="30">
        <v>0.7</v>
      </c>
      <c r="Q22" s="30" t="s">
        <v>132</v>
      </c>
    </row>
    <row r="23" ht="15.75" customHeight="1">
      <c r="A23" s="30">
        <v>5.6506693E7</v>
      </c>
      <c r="B23" s="30">
        <v>600.0</v>
      </c>
      <c r="C23" s="30">
        <v>150.0</v>
      </c>
      <c r="D23" s="30">
        <v>250.0</v>
      </c>
      <c r="E23" s="30">
        <v>1000.0</v>
      </c>
      <c r="F23" s="30" t="s">
        <v>90</v>
      </c>
      <c r="G23" s="30">
        <v>943.56</v>
      </c>
      <c r="H23" s="30">
        <v>977.43</v>
      </c>
      <c r="I23" s="30" t="s">
        <v>90</v>
      </c>
      <c r="J23" s="30">
        <v>44.0</v>
      </c>
      <c r="K23" s="30">
        <v>1.0</v>
      </c>
      <c r="L23" s="30">
        <v>6.2</v>
      </c>
      <c r="M23" s="30">
        <v>29.26</v>
      </c>
      <c r="N23" s="30">
        <v>48.0</v>
      </c>
      <c r="O23" s="30" t="s">
        <v>133</v>
      </c>
      <c r="P23" s="30">
        <v>0.6</v>
      </c>
      <c r="Q23" s="30" t="s">
        <v>132</v>
      </c>
    </row>
    <row r="24" ht="15.75" customHeight="1">
      <c r="A24" s="30">
        <v>3.282305E7</v>
      </c>
      <c r="B24" s="30">
        <v>600.0</v>
      </c>
      <c r="C24" s="30">
        <v>150.0</v>
      </c>
      <c r="D24" s="30">
        <v>200.0</v>
      </c>
      <c r="E24" s="30">
        <v>950.0</v>
      </c>
      <c r="F24" s="30" t="s">
        <v>90</v>
      </c>
      <c r="G24" s="30">
        <v>898.56</v>
      </c>
      <c r="H24" s="30">
        <v>934.57</v>
      </c>
      <c r="I24" s="30" t="s">
        <v>90</v>
      </c>
      <c r="J24" s="30">
        <v>45.0</v>
      </c>
      <c r="K24" s="30">
        <v>-6.8</v>
      </c>
      <c r="L24" s="30">
        <v>0.0</v>
      </c>
      <c r="M24" s="30">
        <v>14.82</v>
      </c>
      <c r="N24" s="30">
        <v>36.0</v>
      </c>
      <c r="O24" s="30" t="s">
        <v>131</v>
      </c>
      <c r="P24" s="30">
        <v>0.7</v>
      </c>
      <c r="Q24" s="30" t="s">
        <v>132</v>
      </c>
    </row>
    <row r="25" ht="15.75" customHeight="1">
      <c r="A25" s="30">
        <v>5.8739269E7</v>
      </c>
      <c r="B25" s="30">
        <v>530.0</v>
      </c>
      <c r="C25" s="30">
        <v>150.0</v>
      </c>
      <c r="D25" s="30">
        <v>250.0</v>
      </c>
      <c r="E25" s="30">
        <v>930.0</v>
      </c>
      <c r="F25" s="30" t="s">
        <v>90</v>
      </c>
      <c r="G25" s="30">
        <v>915.76</v>
      </c>
      <c r="H25" s="30">
        <v>925.73</v>
      </c>
      <c r="I25" s="30" t="s">
        <v>90</v>
      </c>
      <c r="J25" s="30">
        <v>16.0</v>
      </c>
      <c r="K25" s="30">
        <v>-23.7</v>
      </c>
      <c r="L25" s="30">
        <v>2.9</v>
      </c>
      <c r="M25" s="30">
        <v>32.33</v>
      </c>
      <c r="N25" s="30">
        <v>48.0</v>
      </c>
      <c r="O25" s="30" t="s">
        <v>131</v>
      </c>
      <c r="P25" s="30">
        <v>0.7</v>
      </c>
      <c r="Q25" s="30" t="s">
        <v>132</v>
      </c>
    </row>
    <row r="26" ht="15.75" customHeight="1">
      <c r="A26" s="30">
        <v>6.973669E7</v>
      </c>
      <c r="B26" s="30">
        <v>600.0</v>
      </c>
      <c r="C26" s="30">
        <v>150.0</v>
      </c>
      <c r="D26" s="30">
        <v>200.0</v>
      </c>
      <c r="E26" s="30">
        <v>950.0</v>
      </c>
      <c r="F26" s="30" t="s">
        <v>90</v>
      </c>
      <c r="G26" s="30">
        <v>913.11</v>
      </c>
      <c r="H26" s="30">
        <v>935.25</v>
      </c>
      <c r="I26" s="30" t="s">
        <v>90</v>
      </c>
      <c r="J26" s="30">
        <v>34.0</v>
      </c>
      <c r="K26" s="30">
        <v>-9.4</v>
      </c>
      <c r="L26" s="30">
        <v>7.8</v>
      </c>
      <c r="M26" s="30">
        <v>24.6</v>
      </c>
      <c r="N26" s="30">
        <v>60.0</v>
      </c>
      <c r="O26" s="30" t="s">
        <v>133</v>
      </c>
      <c r="P26" s="30">
        <v>0.6</v>
      </c>
      <c r="Q26" s="30" t="s">
        <v>132</v>
      </c>
    </row>
    <row r="27" ht="15.75" customHeight="1">
      <c r="A27" s="30">
        <v>4.0049387E7</v>
      </c>
      <c r="B27" s="30">
        <v>600.0</v>
      </c>
      <c r="C27" s="30">
        <v>150.0</v>
      </c>
      <c r="D27" s="30">
        <v>250.0</v>
      </c>
      <c r="E27" s="30">
        <v>1000.0</v>
      </c>
      <c r="F27" s="30" t="s">
        <v>90</v>
      </c>
      <c r="G27" s="30">
        <v>914.55</v>
      </c>
      <c r="H27" s="30">
        <v>974.36</v>
      </c>
      <c r="I27" s="30" t="s">
        <v>90</v>
      </c>
      <c r="J27" s="30">
        <v>32.0</v>
      </c>
      <c r="K27" s="30">
        <v>-21.9</v>
      </c>
      <c r="L27" s="30">
        <v>4.0</v>
      </c>
      <c r="M27" s="30">
        <v>27.16</v>
      </c>
      <c r="N27" s="30">
        <v>60.0</v>
      </c>
      <c r="O27" s="30" t="s">
        <v>131</v>
      </c>
      <c r="P27" s="30">
        <v>0.7</v>
      </c>
      <c r="Q27" s="30" t="s">
        <v>132</v>
      </c>
    </row>
    <row r="28" ht="15.75" customHeight="1">
      <c r="A28" s="30">
        <v>6.2681427E7</v>
      </c>
      <c r="B28" s="30">
        <v>600.0</v>
      </c>
      <c r="C28" s="30">
        <v>150.0</v>
      </c>
      <c r="D28" s="30">
        <v>250.0</v>
      </c>
      <c r="E28" s="30">
        <v>1000.0</v>
      </c>
      <c r="F28" s="30" t="s">
        <v>90</v>
      </c>
      <c r="G28" s="30">
        <v>946.67</v>
      </c>
      <c r="H28" s="30">
        <v>978.67</v>
      </c>
      <c r="I28" s="30" t="s">
        <v>90</v>
      </c>
      <c r="J28" s="30">
        <v>37.0</v>
      </c>
      <c r="K28" s="30">
        <v>-3.8</v>
      </c>
      <c r="L28" s="30">
        <v>7.6</v>
      </c>
      <c r="M28" s="30">
        <v>19.92</v>
      </c>
      <c r="N28" s="30">
        <v>36.0</v>
      </c>
      <c r="O28" s="30" t="s">
        <v>133</v>
      </c>
      <c r="P28" s="30">
        <v>0.6</v>
      </c>
      <c r="Q28" s="30" t="s">
        <v>132</v>
      </c>
    </row>
    <row r="29" ht="15.75" customHeight="1">
      <c r="A29" s="30">
        <v>2.0813392E7</v>
      </c>
      <c r="B29" s="30">
        <v>530.0</v>
      </c>
      <c r="C29" s="30">
        <v>150.0</v>
      </c>
      <c r="D29" s="30">
        <v>200.0</v>
      </c>
      <c r="E29" s="30">
        <v>880.0</v>
      </c>
      <c r="F29" s="30" t="s">
        <v>92</v>
      </c>
      <c r="G29" s="30">
        <v>943.62</v>
      </c>
      <c r="H29" s="30">
        <v>905.45</v>
      </c>
      <c r="I29" s="30" t="s">
        <v>90</v>
      </c>
      <c r="J29" s="30">
        <v>44.0</v>
      </c>
      <c r="K29" s="30">
        <v>-20.6</v>
      </c>
      <c r="L29" s="30">
        <v>3.9</v>
      </c>
      <c r="M29" s="30">
        <v>21.18</v>
      </c>
      <c r="N29" s="30">
        <v>36.0</v>
      </c>
      <c r="O29" s="30" t="s">
        <v>133</v>
      </c>
      <c r="P29" s="30">
        <v>0.6</v>
      </c>
      <c r="Q29" s="30" t="s">
        <v>132</v>
      </c>
    </row>
    <row r="30" ht="15.75" customHeight="1">
      <c r="A30" s="30">
        <v>4.6083968E7</v>
      </c>
      <c r="B30" s="30">
        <v>530.0</v>
      </c>
      <c r="C30" s="30">
        <v>150.0</v>
      </c>
      <c r="D30" s="30">
        <v>250.0</v>
      </c>
      <c r="E30" s="30">
        <v>930.0</v>
      </c>
      <c r="F30" s="30" t="s">
        <v>90</v>
      </c>
      <c r="G30" s="30">
        <v>924.08</v>
      </c>
      <c r="H30" s="30">
        <v>927.63</v>
      </c>
      <c r="I30" s="30" t="s">
        <v>90</v>
      </c>
      <c r="J30" s="30">
        <v>47.0</v>
      </c>
      <c r="K30" s="30">
        <v>-17.4</v>
      </c>
      <c r="L30" s="30">
        <v>2.0</v>
      </c>
      <c r="M30" s="30">
        <v>18.86</v>
      </c>
      <c r="N30" s="30">
        <v>36.0</v>
      </c>
      <c r="O30" s="30" t="s">
        <v>133</v>
      </c>
      <c r="P30" s="30">
        <v>0.6</v>
      </c>
      <c r="Q30" s="30" t="s">
        <v>132</v>
      </c>
    </row>
    <row r="31" ht="15.75" customHeight="1">
      <c r="A31" s="30">
        <v>6.3291059E7</v>
      </c>
      <c r="B31" s="30">
        <v>600.0</v>
      </c>
      <c r="C31" s="30">
        <v>150.0</v>
      </c>
      <c r="D31" s="30">
        <v>200.0</v>
      </c>
      <c r="E31" s="30">
        <v>950.0</v>
      </c>
      <c r="F31" s="30" t="s">
        <v>90</v>
      </c>
      <c r="G31" s="30">
        <v>901.13</v>
      </c>
      <c r="H31" s="30">
        <v>935.34</v>
      </c>
      <c r="I31" s="30" t="s">
        <v>90</v>
      </c>
      <c r="J31" s="30">
        <v>49.0</v>
      </c>
      <c r="K31" s="30">
        <v>-15.3</v>
      </c>
      <c r="L31" s="30">
        <v>2.0</v>
      </c>
      <c r="M31" s="30">
        <v>28.35</v>
      </c>
      <c r="N31" s="30">
        <v>60.0</v>
      </c>
      <c r="O31" s="30" t="s">
        <v>131</v>
      </c>
      <c r="P31" s="30">
        <v>0.7</v>
      </c>
      <c r="Q31" s="30" t="s">
        <v>132</v>
      </c>
    </row>
    <row r="32" ht="15.75" customHeight="1">
      <c r="A32" s="30">
        <v>6.4125E7</v>
      </c>
      <c r="B32" s="30">
        <v>300.0</v>
      </c>
      <c r="C32" s="30">
        <v>100.0</v>
      </c>
      <c r="D32" s="30">
        <v>125.0</v>
      </c>
      <c r="E32" s="30">
        <v>525.0</v>
      </c>
      <c r="F32" s="30" t="s">
        <v>106</v>
      </c>
      <c r="G32" s="30">
        <v>759.4</v>
      </c>
      <c r="H32" s="30">
        <v>642.2</v>
      </c>
      <c r="I32" s="30" t="s">
        <v>102</v>
      </c>
      <c r="J32" s="30">
        <v>26.0</v>
      </c>
      <c r="K32" s="30">
        <v>1.0</v>
      </c>
      <c r="L32" s="30">
        <v>13.9</v>
      </c>
      <c r="M32" s="30">
        <v>30.83</v>
      </c>
      <c r="N32" s="30">
        <v>18.0</v>
      </c>
      <c r="O32" s="30" t="s">
        <v>134</v>
      </c>
      <c r="P32" s="30">
        <v>0.5</v>
      </c>
      <c r="Q32" s="30" t="s">
        <v>135</v>
      </c>
    </row>
    <row r="33" ht="15.75" customHeight="1">
      <c r="A33" s="30">
        <v>3.8910991E7</v>
      </c>
      <c r="B33" s="30">
        <v>450.0</v>
      </c>
      <c r="C33" s="30">
        <v>100.0</v>
      </c>
      <c r="D33" s="30">
        <v>200.0</v>
      </c>
      <c r="E33" s="30">
        <v>750.0</v>
      </c>
      <c r="F33" s="30" t="s">
        <v>96</v>
      </c>
      <c r="G33" s="30">
        <v>832.26</v>
      </c>
      <c r="H33" s="30">
        <v>782.9</v>
      </c>
      <c r="I33" s="30" t="s">
        <v>96</v>
      </c>
      <c r="J33" s="30">
        <v>41.0</v>
      </c>
      <c r="K33" s="30">
        <v>16.8</v>
      </c>
      <c r="L33" s="30">
        <v>13.6</v>
      </c>
      <c r="M33" s="30">
        <v>37.51</v>
      </c>
      <c r="N33" s="30">
        <v>18.0</v>
      </c>
      <c r="O33" s="30" t="s">
        <v>133</v>
      </c>
      <c r="P33" s="30">
        <v>0.6</v>
      </c>
      <c r="Q33" s="30" t="s">
        <v>135</v>
      </c>
    </row>
    <row r="34" ht="15.75" customHeight="1">
      <c r="A34" s="30">
        <v>7.7084884E7</v>
      </c>
      <c r="B34" s="30">
        <v>450.0</v>
      </c>
      <c r="C34" s="30">
        <v>150.0</v>
      </c>
      <c r="D34" s="30">
        <v>125.0</v>
      </c>
      <c r="E34" s="30">
        <v>725.0</v>
      </c>
      <c r="F34" s="30" t="s">
        <v>98</v>
      </c>
      <c r="G34" s="30">
        <v>804.06</v>
      </c>
      <c r="H34" s="30">
        <v>764.53</v>
      </c>
      <c r="I34" s="30" t="s">
        <v>96</v>
      </c>
      <c r="J34" s="30">
        <v>20.0</v>
      </c>
      <c r="K34" s="30">
        <v>12.5</v>
      </c>
      <c r="L34" s="30">
        <v>5.9</v>
      </c>
      <c r="M34" s="30">
        <v>31.55</v>
      </c>
      <c r="N34" s="30">
        <v>18.0</v>
      </c>
      <c r="O34" s="30" t="s">
        <v>134</v>
      </c>
      <c r="P34" s="30">
        <v>0.5</v>
      </c>
      <c r="Q34" s="30" t="s">
        <v>135</v>
      </c>
    </row>
    <row r="35" ht="15.75" customHeight="1">
      <c r="A35" s="30">
        <v>8.1136123E7</v>
      </c>
      <c r="B35" s="30">
        <v>530.0</v>
      </c>
      <c r="C35" s="30">
        <v>150.0</v>
      </c>
      <c r="D35" s="30">
        <v>125.0</v>
      </c>
      <c r="E35" s="30">
        <v>805.0</v>
      </c>
      <c r="F35" s="30" t="s">
        <v>94</v>
      </c>
      <c r="G35" s="30">
        <v>775.09</v>
      </c>
      <c r="H35" s="30">
        <v>793.03</v>
      </c>
      <c r="I35" s="30" t="s">
        <v>96</v>
      </c>
      <c r="J35" s="30">
        <v>27.0</v>
      </c>
      <c r="K35" s="30">
        <v>15.9</v>
      </c>
      <c r="L35" s="30">
        <v>7.7</v>
      </c>
      <c r="M35" s="30">
        <v>43.17</v>
      </c>
      <c r="N35" s="30">
        <v>24.0</v>
      </c>
      <c r="O35" s="30" t="s">
        <v>133</v>
      </c>
      <c r="P35" s="30">
        <v>0.6</v>
      </c>
      <c r="Q35" s="30" t="s">
        <v>135</v>
      </c>
    </row>
    <row r="36" ht="15.75" customHeight="1">
      <c r="A36" s="30">
        <v>6.4455328E7</v>
      </c>
      <c r="B36" s="30">
        <v>450.0</v>
      </c>
      <c r="C36" s="30">
        <v>150.0</v>
      </c>
      <c r="D36" s="30">
        <v>125.0</v>
      </c>
      <c r="E36" s="30">
        <v>725.0</v>
      </c>
      <c r="F36" s="30" t="s">
        <v>98</v>
      </c>
      <c r="G36" s="30">
        <v>821.46</v>
      </c>
      <c r="H36" s="30">
        <v>773.23</v>
      </c>
      <c r="I36" s="30" t="s">
        <v>96</v>
      </c>
      <c r="J36" s="30">
        <v>5.0</v>
      </c>
      <c r="K36" s="30">
        <v>18.3</v>
      </c>
      <c r="L36" s="30">
        <v>9.4</v>
      </c>
      <c r="M36" s="30">
        <v>37.19</v>
      </c>
      <c r="N36" s="30">
        <v>18.0</v>
      </c>
      <c r="O36" s="30" t="s">
        <v>134</v>
      </c>
      <c r="P36" s="30">
        <v>0.5</v>
      </c>
      <c r="Q36" s="30" t="s">
        <v>135</v>
      </c>
    </row>
    <row r="37" ht="15.75" customHeight="1">
      <c r="A37" s="30">
        <v>2.8615875E7</v>
      </c>
      <c r="B37" s="30">
        <v>530.0</v>
      </c>
      <c r="C37" s="30">
        <v>150.0</v>
      </c>
      <c r="D37" s="30">
        <v>200.0</v>
      </c>
      <c r="E37" s="30">
        <v>880.0</v>
      </c>
      <c r="F37" s="30" t="s">
        <v>92</v>
      </c>
      <c r="G37" s="30">
        <v>825.78</v>
      </c>
      <c r="H37" s="30">
        <v>858.31</v>
      </c>
      <c r="I37" s="30" t="s">
        <v>92</v>
      </c>
      <c r="J37" s="30">
        <v>18.0</v>
      </c>
      <c r="K37" s="30">
        <v>12.2</v>
      </c>
      <c r="L37" s="30">
        <v>9.2</v>
      </c>
      <c r="M37" s="30">
        <v>37.43</v>
      </c>
      <c r="N37" s="30">
        <v>24.0</v>
      </c>
      <c r="O37" s="30" t="s">
        <v>133</v>
      </c>
      <c r="P37" s="30">
        <v>0.6</v>
      </c>
      <c r="Q37" s="30" t="s">
        <v>135</v>
      </c>
    </row>
    <row r="38" ht="15.75" customHeight="1">
      <c r="A38" s="30">
        <v>4.1421956E7</v>
      </c>
      <c r="B38" s="30">
        <v>300.0</v>
      </c>
      <c r="C38" s="30">
        <v>100.0</v>
      </c>
      <c r="D38" s="30">
        <v>125.0</v>
      </c>
      <c r="E38" s="30">
        <v>525.0</v>
      </c>
      <c r="F38" s="30" t="s">
        <v>106</v>
      </c>
      <c r="G38" s="30">
        <v>799.16</v>
      </c>
      <c r="H38" s="30">
        <v>634.66</v>
      </c>
      <c r="I38" s="30" t="s">
        <v>102</v>
      </c>
      <c r="J38" s="30">
        <v>37.0</v>
      </c>
      <c r="K38" s="30">
        <v>19.6</v>
      </c>
      <c r="L38" s="30">
        <v>6.8</v>
      </c>
      <c r="M38" s="30">
        <v>30.51</v>
      </c>
      <c r="N38" s="30">
        <v>18.0</v>
      </c>
      <c r="O38" s="30" t="s">
        <v>133</v>
      </c>
      <c r="P38" s="30">
        <v>0.6</v>
      </c>
      <c r="Q38" s="30" t="s">
        <v>135</v>
      </c>
    </row>
    <row r="39" ht="15.75" customHeight="1">
      <c r="A39" s="30">
        <v>6.6999496E7</v>
      </c>
      <c r="B39" s="30">
        <v>450.0</v>
      </c>
      <c r="C39" s="30">
        <v>150.0</v>
      </c>
      <c r="D39" s="30">
        <v>125.0</v>
      </c>
      <c r="E39" s="30">
        <v>725.0</v>
      </c>
      <c r="F39" s="30" t="s">
        <v>98</v>
      </c>
      <c r="G39" s="30">
        <v>812.59</v>
      </c>
      <c r="H39" s="30">
        <v>768.79</v>
      </c>
      <c r="I39" s="30" t="s">
        <v>96</v>
      </c>
      <c r="J39" s="30">
        <v>5.0</v>
      </c>
      <c r="K39" s="30">
        <v>19.0</v>
      </c>
      <c r="L39" s="30">
        <v>13.9</v>
      </c>
      <c r="M39" s="30">
        <v>37.83</v>
      </c>
      <c r="N39" s="30">
        <v>18.0</v>
      </c>
      <c r="O39" s="30" t="s">
        <v>134</v>
      </c>
      <c r="P39" s="30">
        <v>0.5</v>
      </c>
      <c r="Q39" s="30" t="s">
        <v>135</v>
      </c>
    </row>
    <row r="40" ht="15.75" customHeight="1">
      <c r="A40" s="30">
        <v>8.073783E7</v>
      </c>
      <c r="B40" s="30">
        <v>450.0</v>
      </c>
      <c r="C40" s="30">
        <v>150.0</v>
      </c>
      <c r="D40" s="30">
        <v>200.0</v>
      </c>
      <c r="E40" s="30">
        <v>800.0</v>
      </c>
      <c r="F40" s="30" t="s">
        <v>94</v>
      </c>
      <c r="G40" s="30">
        <v>830.09</v>
      </c>
      <c r="H40" s="30">
        <v>815.05</v>
      </c>
      <c r="I40" s="30" t="s">
        <v>94</v>
      </c>
      <c r="J40" s="30">
        <v>39.0</v>
      </c>
      <c r="K40" s="30">
        <v>18.9</v>
      </c>
      <c r="L40" s="30">
        <v>14.4</v>
      </c>
      <c r="M40" s="30">
        <v>56.02</v>
      </c>
      <c r="N40" s="30">
        <v>24.0</v>
      </c>
      <c r="O40" s="30" t="s">
        <v>134</v>
      </c>
      <c r="P40" s="30">
        <v>0.5</v>
      </c>
      <c r="Q40" s="30" t="s">
        <v>135</v>
      </c>
    </row>
    <row r="41" ht="15.75" customHeight="1">
      <c r="A41" s="30">
        <v>3.6598295E7</v>
      </c>
      <c r="B41" s="30">
        <v>450.0</v>
      </c>
      <c r="C41" s="30">
        <v>150.0</v>
      </c>
      <c r="D41" s="30">
        <v>200.0</v>
      </c>
      <c r="E41" s="30">
        <v>800.0</v>
      </c>
      <c r="F41" s="30" t="s">
        <v>94</v>
      </c>
      <c r="G41" s="30">
        <v>770.67</v>
      </c>
      <c r="H41" s="30">
        <v>788.27</v>
      </c>
      <c r="I41" s="30" t="s">
        <v>96</v>
      </c>
      <c r="J41" s="30">
        <v>16.0</v>
      </c>
      <c r="K41" s="30">
        <v>18.8</v>
      </c>
      <c r="L41" s="30">
        <v>8.9</v>
      </c>
      <c r="M41" s="30">
        <v>58.84</v>
      </c>
      <c r="N41" s="30">
        <v>18.0</v>
      </c>
      <c r="O41" s="30" t="s">
        <v>133</v>
      </c>
      <c r="P41" s="30">
        <v>0.6</v>
      </c>
      <c r="Q41" s="30" t="s">
        <v>135</v>
      </c>
    </row>
    <row r="42" ht="15.75" customHeight="1">
      <c r="A42" s="30">
        <v>7.5135253E7</v>
      </c>
      <c r="B42" s="30">
        <v>300.0</v>
      </c>
      <c r="C42" s="30">
        <v>100.0</v>
      </c>
      <c r="D42" s="30">
        <v>125.0</v>
      </c>
      <c r="E42" s="30">
        <v>525.0</v>
      </c>
      <c r="F42" s="30" t="s">
        <v>106</v>
      </c>
      <c r="G42" s="30">
        <v>818.16</v>
      </c>
      <c r="H42" s="30">
        <v>642.26</v>
      </c>
      <c r="I42" s="30" t="s">
        <v>102</v>
      </c>
      <c r="J42" s="30">
        <v>45.0</v>
      </c>
      <c r="K42" s="30">
        <v>13.7</v>
      </c>
      <c r="L42" s="30">
        <v>5.7</v>
      </c>
      <c r="M42" s="30">
        <v>39.57</v>
      </c>
      <c r="N42" s="30">
        <v>18.0</v>
      </c>
      <c r="O42" s="30" t="s">
        <v>133</v>
      </c>
      <c r="P42" s="30">
        <v>0.6</v>
      </c>
      <c r="Q42" s="30" t="s">
        <v>135</v>
      </c>
    </row>
    <row r="43" ht="15.75" customHeight="1">
      <c r="A43" s="30">
        <v>5.258232E7</v>
      </c>
      <c r="B43" s="30">
        <v>450.0</v>
      </c>
      <c r="C43" s="30">
        <v>150.0</v>
      </c>
      <c r="D43" s="30">
        <v>125.0</v>
      </c>
      <c r="E43" s="30">
        <v>725.0</v>
      </c>
      <c r="F43" s="30" t="s">
        <v>98</v>
      </c>
      <c r="G43" s="30">
        <v>778.2</v>
      </c>
      <c r="H43" s="30">
        <v>746.28</v>
      </c>
      <c r="I43" s="30" t="s">
        <v>98</v>
      </c>
      <c r="J43" s="30">
        <v>13.0</v>
      </c>
      <c r="K43" s="30">
        <v>18.7</v>
      </c>
      <c r="L43" s="30">
        <v>5.4</v>
      </c>
      <c r="M43" s="30">
        <v>42.54</v>
      </c>
      <c r="N43" s="30">
        <v>12.0</v>
      </c>
      <c r="O43" s="30" t="s">
        <v>133</v>
      </c>
      <c r="P43" s="30">
        <v>0.6</v>
      </c>
      <c r="Q43" s="30" t="s">
        <v>135</v>
      </c>
    </row>
    <row r="44" ht="15.75" customHeight="1">
      <c r="A44" s="30">
        <v>2.9837335E7</v>
      </c>
      <c r="B44" s="30">
        <v>450.0</v>
      </c>
      <c r="C44" s="30">
        <v>150.0</v>
      </c>
      <c r="D44" s="30">
        <v>200.0</v>
      </c>
      <c r="E44" s="30">
        <v>800.0</v>
      </c>
      <c r="F44" s="30" t="s">
        <v>94</v>
      </c>
      <c r="G44" s="30">
        <v>843.08</v>
      </c>
      <c r="H44" s="30">
        <v>821.54</v>
      </c>
      <c r="I44" s="30" t="s">
        <v>94</v>
      </c>
      <c r="J44" s="30">
        <v>17.0</v>
      </c>
      <c r="K44" s="30">
        <v>2.6</v>
      </c>
      <c r="L44" s="30">
        <v>7.5</v>
      </c>
      <c r="M44" s="30">
        <v>47.42</v>
      </c>
      <c r="N44" s="30">
        <v>24.0</v>
      </c>
      <c r="O44" s="30" t="s">
        <v>134</v>
      </c>
      <c r="P44" s="30">
        <v>0.5</v>
      </c>
      <c r="Q44" s="30" t="s">
        <v>135</v>
      </c>
    </row>
    <row r="45" ht="15.75" customHeight="1">
      <c r="A45" s="30">
        <v>5.0518023E7</v>
      </c>
      <c r="B45" s="30">
        <v>450.0</v>
      </c>
      <c r="C45" s="30">
        <v>100.0</v>
      </c>
      <c r="D45" s="30">
        <v>125.0</v>
      </c>
      <c r="E45" s="30">
        <v>675.0</v>
      </c>
      <c r="F45" s="30" t="s">
        <v>100</v>
      </c>
      <c r="G45" s="30">
        <v>839.55</v>
      </c>
      <c r="H45" s="30">
        <v>740.82</v>
      </c>
      <c r="I45" s="30" t="s">
        <v>98</v>
      </c>
      <c r="J45" s="30">
        <v>16.0</v>
      </c>
      <c r="K45" s="30">
        <v>10.7</v>
      </c>
      <c r="L45" s="30">
        <v>10.0</v>
      </c>
      <c r="M45" s="30">
        <v>41.69</v>
      </c>
      <c r="N45" s="30">
        <v>12.0</v>
      </c>
      <c r="O45" s="30" t="s">
        <v>133</v>
      </c>
      <c r="P45" s="30">
        <v>0.6</v>
      </c>
      <c r="Q45" s="30" t="s">
        <v>135</v>
      </c>
    </row>
    <row r="46" ht="15.75" customHeight="1">
      <c r="A46" s="30">
        <v>4.0109768E7</v>
      </c>
      <c r="B46" s="30">
        <v>530.0</v>
      </c>
      <c r="C46" s="30">
        <v>150.0</v>
      </c>
      <c r="D46" s="30">
        <v>125.0</v>
      </c>
      <c r="E46" s="30">
        <v>805.0</v>
      </c>
      <c r="F46" s="30" t="s">
        <v>94</v>
      </c>
      <c r="G46" s="30">
        <v>813.18</v>
      </c>
      <c r="H46" s="30">
        <v>808.27</v>
      </c>
      <c r="I46" s="30" t="s">
        <v>94</v>
      </c>
      <c r="J46" s="30">
        <v>39.0</v>
      </c>
      <c r="K46" s="30">
        <v>19.1</v>
      </c>
      <c r="L46" s="30">
        <v>11.8</v>
      </c>
      <c r="M46" s="30">
        <v>44.48</v>
      </c>
      <c r="N46" s="30">
        <v>18.0</v>
      </c>
      <c r="O46" s="30" t="s">
        <v>133</v>
      </c>
      <c r="P46" s="30">
        <v>0.6</v>
      </c>
      <c r="Q46" s="30" t="s">
        <v>135</v>
      </c>
    </row>
    <row r="47" ht="15.75" customHeight="1">
      <c r="A47" s="30">
        <v>2.9090652E7</v>
      </c>
      <c r="B47" s="30">
        <v>450.0</v>
      </c>
      <c r="C47" s="30">
        <v>150.0</v>
      </c>
      <c r="D47" s="30">
        <v>125.0</v>
      </c>
      <c r="E47" s="30">
        <v>725.0</v>
      </c>
      <c r="F47" s="30" t="s">
        <v>98</v>
      </c>
      <c r="G47" s="30">
        <v>799.44</v>
      </c>
      <c r="H47" s="30">
        <v>754.78</v>
      </c>
      <c r="I47" s="30" t="s">
        <v>96</v>
      </c>
      <c r="J47" s="30">
        <v>35.0</v>
      </c>
      <c r="K47" s="30">
        <v>18.9</v>
      </c>
      <c r="L47" s="30">
        <v>12.8</v>
      </c>
      <c r="M47" s="30">
        <v>33.4</v>
      </c>
      <c r="N47" s="30">
        <v>12.0</v>
      </c>
      <c r="O47" s="30" t="s">
        <v>133</v>
      </c>
      <c r="P47" s="30">
        <v>0.6</v>
      </c>
      <c r="Q47" s="30" t="s">
        <v>135</v>
      </c>
    </row>
    <row r="48" ht="15.75" customHeight="1">
      <c r="A48" s="30">
        <v>6.2945427E7</v>
      </c>
      <c r="B48" s="30">
        <v>300.0</v>
      </c>
      <c r="C48" s="30">
        <v>150.0</v>
      </c>
      <c r="D48" s="30">
        <v>200.0</v>
      </c>
      <c r="E48" s="30">
        <v>650.0</v>
      </c>
      <c r="F48" s="30" t="s">
        <v>100</v>
      </c>
      <c r="G48" s="30">
        <v>811.82</v>
      </c>
      <c r="H48" s="30">
        <v>714.73</v>
      </c>
      <c r="I48" s="30" t="s">
        <v>98</v>
      </c>
      <c r="J48" s="30">
        <v>11.0</v>
      </c>
      <c r="K48" s="30">
        <v>14.1</v>
      </c>
      <c r="L48" s="30">
        <v>14.7</v>
      </c>
      <c r="M48" s="30">
        <v>50.64</v>
      </c>
      <c r="N48" s="30">
        <v>18.0</v>
      </c>
      <c r="O48" s="30" t="s">
        <v>133</v>
      </c>
      <c r="P48" s="30">
        <v>0.6</v>
      </c>
      <c r="Q48" s="30" t="s">
        <v>135</v>
      </c>
    </row>
    <row r="49" ht="15.75" customHeight="1">
      <c r="A49" s="30">
        <v>5.6391455E7</v>
      </c>
      <c r="B49" s="30">
        <v>450.0</v>
      </c>
      <c r="C49" s="30">
        <v>100.0</v>
      </c>
      <c r="D49" s="30">
        <v>125.0</v>
      </c>
      <c r="E49" s="30">
        <v>675.0</v>
      </c>
      <c r="F49" s="30" t="s">
        <v>100</v>
      </c>
      <c r="G49" s="30">
        <v>848.66</v>
      </c>
      <c r="H49" s="30">
        <v>744.47</v>
      </c>
      <c r="I49" s="30" t="s">
        <v>98</v>
      </c>
      <c r="J49" s="30">
        <v>5.0</v>
      </c>
      <c r="K49" s="30">
        <v>17.8</v>
      </c>
      <c r="L49" s="30">
        <v>6.5</v>
      </c>
      <c r="M49" s="30">
        <v>45.4</v>
      </c>
      <c r="N49" s="30">
        <v>18.0</v>
      </c>
      <c r="O49" s="30" t="s">
        <v>133</v>
      </c>
      <c r="P49" s="30">
        <v>0.6</v>
      </c>
      <c r="Q49" s="30" t="s">
        <v>135</v>
      </c>
    </row>
    <row r="50" ht="15.75" customHeight="1">
      <c r="A50" s="30">
        <v>7.7847627E7</v>
      </c>
      <c r="B50" s="30">
        <v>530.0</v>
      </c>
      <c r="C50" s="30">
        <v>100.0</v>
      </c>
      <c r="D50" s="30">
        <v>200.0</v>
      </c>
      <c r="E50" s="30">
        <v>830.0</v>
      </c>
      <c r="F50" s="30" t="s">
        <v>94</v>
      </c>
      <c r="G50" s="30">
        <v>827.71</v>
      </c>
      <c r="H50" s="30">
        <v>828.86</v>
      </c>
      <c r="I50" s="30" t="s">
        <v>94</v>
      </c>
      <c r="J50" s="30">
        <v>31.0</v>
      </c>
      <c r="K50" s="30">
        <v>11.8</v>
      </c>
      <c r="L50" s="30">
        <v>8.5</v>
      </c>
      <c r="M50" s="30">
        <v>51.25</v>
      </c>
      <c r="N50" s="30">
        <v>24.0</v>
      </c>
      <c r="O50" s="30" t="s">
        <v>134</v>
      </c>
      <c r="P50" s="30">
        <v>0.5</v>
      </c>
      <c r="Q50" s="30" t="s">
        <v>135</v>
      </c>
    </row>
    <row r="51" ht="15.75" customHeight="1">
      <c r="A51" s="30">
        <v>4.8512056E7</v>
      </c>
      <c r="B51" s="30">
        <v>300.0</v>
      </c>
      <c r="C51" s="30">
        <v>150.0</v>
      </c>
      <c r="D51" s="30">
        <v>125.0</v>
      </c>
      <c r="E51" s="30">
        <v>575.0</v>
      </c>
      <c r="F51" s="30" t="s">
        <v>104</v>
      </c>
      <c r="G51" s="30">
        <v>832.28</v>
      </c>
      <c r="H51" s="30">
        <v>703.64</v>
      </c>
      <c r="I51" s="30" t="s">
        <v>98</v>
      </c>
      <c r="J51" s="30">
        <v>7.0</v>
      </c>
      <c r="K51" s="30">
        <v>5.1</v>
      </c>
      <c r="L51" s="30">
        <v>9.1</v>
      </c>
      <c r="M51" s="30">
        <v>47.14</v>
      </c>
      <c r="N51" s="30">
        <v>12.0</v>
      </c>
      <c r="O51" s="30" t="s">
        <v>134</v>
      </c>
      <c r="P51" s="30">
        <v>0.5</v>
      </c>
      <c r="Q51" s="30" t="s">
        <v>135</v>
      </c>
    </row>
    <row r="52" ht="15.75" customHeight="1">
      <c r="A52" s="30">
        <v>6.3029235E7</v>
      </c>
      <c r="B52" s="30">
        <v>450.0</v>
      </c>
      <c r="C52" s="30">
        <v>150.0</v>
      </c>
      <c r="D52" s="30">
        <v>125.0</v>
      </c>
      <c r="E52" s="30">
        <v>725.0</v>
      </c>
      <c r="F52" s="30" t="s">
        <v>98</v>
      </c>
      <c r="G52" s="30">
        <v>830.21</v>
      </c>
      <c r="H52" s="30">
        <v>777.61</v>
      </c>
      <c r="I52" s="30" t="s">
        <v>96</v>
      </c>
      <c r="J52" s="30">
        <v>49.0</v>
      </c>
      <c r="K52" s="30">
        <v>5.7</v>
      </c>
      <c r="L52" s="30">
        <v>13.7</v>
      </c>
      <c r="M52" s="30">
        <v>36.71</v>
      </c>
      <c r="N52" s="30">
        <v>18.0</v>
      </c>
      <c r="O52" s="30" t="s">
        <v>134</v>
      </c>
      <c r="P52" s="30">
        <v>0.5</v>
      </c>
      <c r="Q52" s="30" t="s">
        <v>135</v>
      </c>
    </row>
    <row r="53" ht="15.75" customHeight="1">
      <c r="A53" s="30">
        <v>7.7284741E7</v>
      </c>
      <c r="B53" s="30">
        <v>300.0</v>
      </c>
      <c r="C53" s="30">
        <v>150.0</v>
      </c>
      <c r="D53" s="30">
        <v>200.0</v>
      </c>
      <c r="E53" s="30">
        <v>650.0</v>
      </c>
      <c r="F53" s="30" t="s">
        <v>100</v>
      </c>
      <c r="G53" s="30">
        <v>802.31</v>
      </c>
      <c r="H53" s="30">
        <v>726.15</v>
      </c>
      <c r="I53" s="30" t="s">
        <v>98</v>
      </c>
      <c r="J53" s="30">
        <v>18.0</v>
      </c>
      <c r="K53" s="30">
        <v>19.9</v>
      </c>
      <c r="L53" s="30">
        <v>5.7</v>
      </c>
      <c r="M53" s="30">
        <v>46.62</v>
      </c>
      <c r="N53" s="30">
        <v>12.0</v>
      </c>
      <c r="O53" s="30" t="s">
        <v>134</v>
      </c>
      <c r="P53" s="30">
        <v>0.5</v>
      </c>
      <c r="Q53" s="30" t="s">
        <v>135</v>
      </c>
    </row>
    <row r="54" ht="15.75" customHeight="1">
      <c r="A54" s="30">
        <v>3.4916864E7</v>
      </c>
      <c r="B54" s="30">
        <v>300.0</v>
      </c>
      <c r="C54" s="30">
        <v>150.0</v>
      </c>
      <c r="D54" s="30">
        <v>200.0</v>
      </c>
      <c r="E54" s="30">
        <v>650.0</v>
      </c>
      <c r="F54" s="30" t="s">
        <v>100</v>
      </c>
      <c r="G54" s="30">
        <v>845.04</v>
      </c>
      <c r="H54" s="30">
        <v>747.52</v>
      </c>
      <c r="I54" s="30" t="s">
        <v>98</v>
      </c>
      <c r="J54" s="30">
        <v>16.0</v>
      </c>
      <c r="K54" s="30">
        <v>7.7</v>
      </c>
      <c r="L54" s="30">
        <v>12.4</v>
      </c>
      <c r="M54" s="30">
        <v>57.46</v>
      </c>
      <c r="N54" s="30">
        <v>18.0</v>
      </c>
      <c r="O54" s="30" t="s">
        <v>134</v>
      </c>
      <c r="P54" s="30">
        <v>0.5</v>
      </c>
      <c r="Q54" s="30" t="s">
        <v>135</v>
      </c>
    </row>
    <row r="55" ht="15.75" customHeight="1">
      <c r="A55" s="30">
        <v>1.6508603E7</v>
      </c>
      <c r="B55" s="30">
        <v>300.0</v>
      </c>
      <c r="C55" s="30">
        <v>150.0</v>
      </c>
      <c r="D55" s="30">
        <v>125.0</v>
      </c>
      <c r="E55" s="30">
        <v>575.0</v>
      </c>
      <c r="F55" s="30" t="s">
        <v>104</v>
      </c>
      <c r="G55" s="30">
        <v>847.44</v>
      </c>
      <c r="H55" s="30">
        <v>711.22</v>
      </c>
      <c r="I55" s="30" t="s">
        <v>98</v>
      </c>
      <c r="J55" s="30">
        <v>21.0</v>
      </c>
      <c r="K55" s="30">
        <v>12.9</v>
      </c>
      <c r="L55" s="30">
        <v>8.9</v>
      </c>
      <c r="M55" s="30">
        <v>36.88</v>
      </c>
      <c r="N55" s="30">
        <v>12.0</v>
      </c>
      <c r="O55" s="30" t="s">
        <v>134</v>
      </c>
      <c r="P55" s="30">
        <v>0.5</v>
      </c>
      <c r="Q55" s="30" t="s">
        <v>135</v>
      </c>
    </row>
    <row r="56" ht="15.75" customHeight="1">
      <c r="A56" s="30">
        <v>7.3991499E7</v>
      </c>
      <c r="B56" s="30">
        <v>300.0</v>
      </c>
      <c r="C56" s="30">
        <v>150.0</v>
      </c>
      <c r="D56" s="30">
        <v>200.0</v>
      </c>
      <c r="E56" s="30">
        <v>650.0</v>
      </c>
      <c r="F56" s="30" t="s">
        <v>100</v>
      </c>
      <c r="G56" s="30">
        <v>844.98</v>
      </c>
      <c r="H56" s="30">
        <v>747.49</v>
      </c>
      <c r="I56" s="30" t="s">
        <v>98</v>
      </c>
      <c r="J56" s="30">
        <v>29.0</v>
      </c>
      <c r="K56" s="30">
        <v>5.4</v>
      </c>
      <c r="L56" s="30">
        <v>6.3</v>
      </c>
      <c r="M56" s="30">
        <v>32.29</v>
      </c>
      <c r="N56" s="30">
        <v>18.0</v>
      </c>
      <c r="O56" s="30" t="s">
        <v>134</v>
      </c>
      <c r="P56" s="30">
        <v>0.5</v>
      </c>
      <c r="Q56" s="30" t="s">
        <v>135</v>
      </c>
    </row>
    <row r="57" ht="15.75" customHeight="1">
      <c r="A57" s="30">
        <v>7.1562271E7</v>
      </c>
      <c r="B57" s="30">
        <v>450.0</v>
      </c>
      <c r="C57" s="30">
        <v>150.0</v>
      </c>
      <c r="D57" s="30">
        <v>200.0</v>
      </c>
      <c r="E57" s="30">
        <v>800.0</v>
      </c>
      <c r="F57" s="30" t="s">
        <v>94</v>
      </c>
      <c r="G57" s="30">
        <v>798.04</v>
      </c>
      <c r="H57" s="30">
        <v>799.02</v>
      </c>
      <c r="I57" s="30" t="s">
        <v>96</v>
      </c>
      <c r="J57" s="30">
        <v>15.0</v>
      </c>
      <c r="K57" s="30">
        <v>0.9</v>
      </c>
      <c r="L57" s="30">
        <v>5.3</v>
      </c>
      <c r="M57" s="30">
        <v>41.29</v>
      </c>
      <c r="N57" s="30">
        <v>12.0</v>
      </c>
      <c r="O57" s="30" t="s">
        <v>134</v>
      </c>
      <c r="P57" s="30">
        <v>0.5</v>
      </c>
      <c r="Q57" s="30" t="s">
        <v>135</v>
      </c>
    </row>
    <row r="58" ht="15.75" customHeight="1">
      <c r="A58" s="30">
        <v>2.2205912E7</v>
      </c>
      <c r="B58" s="30">
        <v>450.0</v>
      </c>
      <c r="C58" s="30">
        <v>150.0</v>
      </c>
      <c r="D58" s="30">
        <v>200.0</v>
      </c>
      <c r="E58" s="30">
        <v>800.0</v>
      </c>
      <c r="F58" s="30" t="s">
        <v>94</v>
      </c>
      <c r="G58" s="30">
        <v>763.39</v>
      </c>
      <c r="H58" s="30">
        <v>785.35</v>
      </c>
      <c r="I58" s="30" t="s">
        <v>96</v>
      </c>
      <c r="J58" s="30">
        <v>10.0</v>
      </c>
      <c r="K58" s="30">
        <v>16.8</v>
      </c>
      <c r="L58" s="30">
        <v>13.4</v>
      </c>
      <c r="M58" s="30">
        <v>44.06</v>
      </c>
      <c r="N58" s="30">
        <v>24.0</v>
      </c>
      <c r="O58" s="30" t="s">
        <v>133</v>
      </c>
      <c r="P58" s="30">
        <v>0.6</v>
      </c>
      <c r="Q58" s="30" t="s">
        <v>135</v>
      </c>
    </row>
    <row r="59" ht="15.75" customHeight="1">
      <c r="A59" s="30">
        <v>7.8451792E7</v>
      </c>
      <c r="B59" s="30">
        <v>450.0</v>
      </c>
      <c r="C59" s="30">
        <v>150.0</v>
      </c>
      <c r="D59" s="30">
        <v>200.0</v>
      </c>
      <c r="E59" s="30">
        <v>800.0</v>
      </c>
      <c r="F59" s="30" t="s">
        <v>94</v>
      </c>
      <c r="G59" s="30">
        <v>834.96</v>
      </c>
      <c r="H59" s="30">
        <v>813.99</v>
      </c>
      <c r="I59" s="30" t="s">
        <v>94</v>
      </c>
      <c r="J59" s="30">
        <v>18.0</v>
      </c>
      <c r="K59" s="30">
        <v>18.3</v>
      </c>
      <c r="L59" s="30">
        <v>10.9</v>
      </c>
      <c r="M59" s="30">
        <v>51.78</v>
      </c>
      <c r="N59" s="30">
        <v>18.0</v>
      </c>
      <c r="O59" s="30" t="s">
        <v>133</v>
      </c>
      <c r="P59" s="30">
        <v>0.6</v>
      </c>
      <c r="Q59" s="30" t="s">
        <v>135</v>
      </c>
    </row>
    <row r="60" ht="15.75" customHeight="1">
      <c r="A60" s="30">
        <v>4.2197234E7</v>
      </c>
      <c r="B60" s="30">
        <v>300.0</v>
      </c>
      <c r="C60" s="30">
        <v>100.0</v>
      </c>
      <c r="D60" s="30">
        <v>125.0</v>
      </c>
      <c r="E60" s="30">
        <v>525.0</v>
      </c>
      <c r="F60" s="30" t="s">
        <v>106</v>
      </c>
      <c r="G60" s="30">
        <v>785.82</v>
      </c>
      <c r="H60" s="30">
        <v>629.33</v>
      </c>
      <c r="I60" s="30" t="s">
        <v>102</v>
      </c>
      <c r="J60" s="30">
        <v>30.0</v>
      </c>
      <c r="K60" s="30">
        <v>4.1</v>
      </c>
      <c r="L60" s="30">
        <v>13.8</v>
      </c>
      <c r="M60" s="30">
        <v>52.71</v>
      </c>
      <c r="N60" s="30">
        <v>18.0</v>
      </c>
      <c r="O60" s="30" t="s">
        <v>133</v>
      </c>
      <c r="P60" s="30">
        <v>0.6</v>
      </c>
      <c r="Q60" s="30" t="s">
        <v>135</v>
      </c>
    </row>
    <row r="61" ht="15.75" customHeight="1">
      <c r="A61" s="30">
        <v>5.4854337E7</v>
      </c>
      <c r="B61" s="30">
        <v>450.0</v>
      </c>
      <c r="C61" s="30">
        <v>150.0</v>
      </c>
      <c r="D61" s="30">
        <v>200.0</v>
      </c>
      <c r="E61" s="30">
        <v>800.0</v>
      </c>
      <c r="F61" s="30" t="s">
        <v>94</v>
      </c>
      <c r="G61" s="30">
        <v>837.67</v>
      </c>
      <c r="H61" s="30">
        <v>815.07</v>
      </c>
      <c r="I61" s="30" t="s">
        <v>94</v>
      </c>
      <c r="J61" s="30">
        <v>27.0</v>
      </c>
      <c r="K61" s="30">
        <v>6.2</v>
      </c>
      <c r="L61" s="30">
        <v>13.2</v>
      </c>
      <c r="M61" s="30">
        <v>59.04</v>
      </c>
      <c r="N61" s="30">
        <v>18.0</v>
      </c>
      <c r="O61" s="30" t="s">
        <v>133</v>
      </c>
      <c r="P61" s="30">
        <v>0.6</v>
      </c>
      <c r="Q61" s="30" t="s">
        <v>135</v>
      </c>
    </row>
    <row r="62" ht="15.75" customHeight="1">
      <c r="A62" s="30">
        <v>5.9520043E7</v>
      </c>
      <c r="B62" s="30">
        <v>450.0</v>
      </c>
      <c r="C62" s="30">
        <v>150.0</v>
      </c>
      <c r="D62" s="30">
        <v>200.0</v>
      </c>
      <c r="E62" s="30">
        <v>800.0</v>
      </c>
      <c r="F62" s="30" t="s">
        <v>94</v>
      </c>
      <c r="G62" s="30">
        <v>810.81</v>
      </c>
      <c r="H62" s="30">
        <v>805.4</v>
      </c>
      <c r="I62" s="30" t="s">
        <v>94</v>
      </c>
      <c r="J62" s="30">
        <v>19.0</v>
      </c>
      <c r="K62" s="30">
        <v>4.3</v>
      </c>
      <c r="L62" s="30">
        <v>6.4</v>
      </c>
      <c r="M62" s="30">
        <v>30.44</v>
      </c>
      <c r="N62" s="30">
        <v>18.0</v>
      </c>
      <c r="O62" s="30" t="s">
        <v>134</v>
      </c>
      <c r="P62" s="30">
        <v>0.5</v>
      </c>
      <c r="Q62" s="30" t="s">
        <v>135</v>
      </c>
    </row>
    <row r="63" ht="15.75" customHeight="1">
      <c r="A63" s="30">
        <v>9.0483319E7</v>
      </c>
      <c r="B63" s="30">
        <v>450.0</v>
      </c>
      <c r="C63" s="30">
        <v>150.0</v>
      </c>
      <c r="D63" s="30">
        <v>125.0</v>
      </c>
      <c r="E63" s="30">
        <v>725.0</v>
      </c>
      <c r="F63" s="30" t="s">
        <v>98</v>
      </c>
      <c r="G63" s="30">
        <v>802.36</v>
      </c>
      <c r="H63" s="30">
        <v>763.68</v>
      </c>
      <c r="I63" s="30" t="s">
        <v>96</v>
      </c>
      <c r="J63" s="30">
        <v>33.0</v>
      </c>
      <c r="K63" s="30">
        <v>10.3</v>
      </c>
      <c r="L63" s="30">
        <v>12.8</v>
      </c>
      <c r="M63" s="30">
        <v>41.9</v>
      </c>
      <c r="N63" s="30">
        <v>24.0</v>
      </c>
      <c r="O63" s="30" t="s">
        <v>134</v>
      </c>
      <c r="P63" s="30">
        <v>0.5</v>
      </c>
      <c r="Q63" s="30" t="s">
        <v>135</v>
      </c>
    </row>
    <row r="64" ht="15.75" customHeight="1">
      <c r="A64" s="30">
        <v>1.7042779E7</v>
      </c>
      <c r="B64" s="30">
        <v>300.0</v>
      </c>
      <c r="C64" s="30">
        <v>150.0</v>
      </c>
      <c r="D64" s="30">
        <v>125.0</v>
      </c>
      <c r="E64" s="30">
        <v>575.0</v>
      </c>
      <c r="F64" s="30" t="s">
        <v>104</v>
      </c>
      <c r="G64" s="30">
        <v>784.74</v>
      </c>
      <c r="H64" s="30">
        <v>658.9</v>
      </c>
      <c r="I64" s="30" t="s">
        <v>100</v>
      </c>
      <c r="J64" s="30">
        <v>47.0</v>
      </c>
      <c r="K64" s="30">
        <v>5.2</v>
      </c>
      <c r="L64" s="30">
        <v>9.6</v>
      </c>
      <c r="M64" s="30">
        <v>59.4</v>
      </c>
      <c r="N64" s="30">
        <v>12.0</v>
      </c>
      <c r="O64" s="30" t="s">
        <v>133</v>
      </c>
      <c r="P64" s="30">
        <v>0.6</v>
      </c>
      <c r="Q64" s="30" t="s">
        <v>135</v>
      </c>
    </row>
    <row r="65" ht="15.75" customHeight="1">
      <c r="A65" s="30">
        <v>6.2943528E7</v>
      </c>
      <c r="B65" s="30">
        <v>300.0</v>
      </c>
      <c r="C65" s="30">
        <v>100.0</v>
      </c>
      <c r="D65" s="30">
        <v>125.0</v>
      </c>
      <c r="E65" s="30">
        <v>525.0</v>
      </c>
      <c r="F65" s="30" t="s">
        <v>106</v>
      </c>
      <c r="G65" s="30">
        <v>839.68</v>
      </c>
      <c r="H65" s="30">
        <v>650.87</v>
      </c>
      <c r="I65" s="30" t="s">
        <v>100</v>
      </c>
      <c r="J65" s="30">
        <v>33.0</v>
      </c>
      <c r="K65" s="30">
        <v>2.6</v>
      </c>
      <c r="L65" s="30">
        <v>6.5</v>
      </c>
      <c r="M65" s="30">
        <v>34.16</v>
      </c>
      <c r="N65" s="30">
        <v>12.0</v>
      </c>
      <c r="O65" s="30" t="s">
        <v>133</v>
      </c>
      <c r="P65" s="30">
        <v>0.6</v>
      </c>
      <c r="Q65" s="30" t="s">
        <v>135</v>
      </c>
    </row>
    <row r="66" ht="15.75" customHeight="1">
      <c r="A66" s="30">
        <v>6.8716927E7</v>
      </c>
      <c r="B66" s="30">
        <v>530.0</v>
      </c>
      <c r="C66" s="30">
        <v>150.0</v>
      </c>
      <c r="D66" s="30">
        <v>125.0</v>
      </c>
      <c r="E66" s="30">
        <v>805.0</v>
      </c>
      <c r="F66" s="30" t="s">
        <v>94</v>
      </c>
      <c r="G66" s="30">
        <v>758.87</v>
      </c>
      <c r="H66" s="30">
        <v>786.55</v>
      </c>
      <c r="I66" s="30" t="s">
        <v>96</v>
      </c>
      <c r="J66" s="30">
        <v>45.0</v>
      </c>
      <c r="K66" s="30">
        <v>16.4</v>
      </c>
      <c r="L66" s="30">
        <v>8.5</v>
      </c>
      <c r="M66" s="30">
        <v>40.43</v>
      </c>
      <c r="N66" s="30">
        <v>18.0</v>
      </c>
      <c r="O66" s="30" t="s">
        <v>133</v>
      </c>
      <c r="P66" s="30">
        <v>0.6</v>
      </c>
      <c r="Q66" s="30" t="s">
        <v>135</v>
      </c>
    </row>
    <row r="67" ht="15.75" customHeight="1">
      <c r="A67" s="30">
        <v>5.5029291E7</v>
      </c>
      <c r="B67" s="30">
        <v>450.0</v>
      </c>
      <c r="C67" s="30">
        <v>150.0</v>
      </c>
      <c r="D67" s="30">
        <v>125.0</v>
      </c>
      <c r="E67" s="30">
        <v>725.0</v>
      </c>
      <c r="F67" s="30" t="s">
        <v>98</v>
      </c>
      <c r="G67" s="30">
        <v>812.79</v>
      </c>
      <c r="H67" s="30">
        <v>760.12</v>
      </c>
      <c r="I67" s="30" t="s">
        <v>96</v>
      </c>
      <c r="J67" s="30">
        <v>34.0</v>
      </c>
      <c r="K67" s="30">
        <v>6.6</v>
      </c>
      <c r="L67" s="30">
        <v>8.2</v>
      </c>
      <c r="M67" s="30">
        <v>32.77</v>
      </c>
      <c r="N67" s="30">
        <v>24.0</v>
      </c>
      <c r="O67" s="30" t="s">
        <v>133</v>
      </c>
      <c r="P67" s="30">
        <v>0.6</v>
      </c>
      <c r="Q67" s="30" t="s">
        <v>135</v>
      </c>
    </row>
    <row r="68" ht="15.75" customHeight="1">
      <c r="A68" s="30">
        <v>9.2333217E7</v>
      </c>
      <c r="B68" s="30">
        <v>300.0</v>
      </c>
      <c r="C68" s="30">
        <v>150.0</v>
      </c>
      <c r="D68" s="30">
        <v>125.0</v>
      </c>
      <c r="E68" s="30">
        <v>575.0</v>
      </c>
      <c r="F68" s="30" t="s">
        <v>104</v>
      </c>
      <c r="G68" s="30">
        <v>803.66</v>
      </c>
      <c r="H68" s="30">
        <v>689.33</v>
      </c>
      <c r="I68" s="30" t="s">
        <v>100</v>
      </c>
      <c r="J68" s="30">
        <v>18.0</v>
      </c>
      <c r="K68" s="30">
        <v>17.4</v>
      </c>
      <c r="L68" s="30">
        <v>5.8</v>
      </c>
      <c r="M68" s="30">
        <v>47.92</v>
      </c>
      <c r="N68" s="30">
        <v>24.0</v>
      </c>
      <c r="O68" s="30" t="s">
        <v>134</v>
      </c>
      <c r="P68" s="30">
        <v>0.5</v>
      </c>
      <c r="Q68" s="30" t="s">
        <v>135</v>
      </c>
    </row>
    <row r="69" ht="15.75" customHeight="1">
      <c r="A69" s="30">
        <v>6.7939816E7</v>
      </c>
      <c r="B69" s="30">
        <v>450.0</v>
      </c>
      <c r="C69" s="30">
        <v>150.0</v>
      </c>
      <c r="D69" s="30">
        <v>125.0</v>
      </c>
      <c r="E69" s="30">
        <v>725.0</v>
      </c>
      <c r="F69" s="30" t="s">
        <v>98</v>
      </c>
      <c r="G69" s="30">
        <v>818.72</v>
      </c>
      <c r="H69" s="30">
        <v>771.86</v>
      </c>
      <c r="I69" s="30" t="s">
        <v>96</v>
      </c>
      <c r="J69" s="30">
        <v>47.0</v>
      </c>
      <c r="K69" s="30">
        <v>14.9</v>
      </c>
      <c r="L69" s="30">
        <v>5.4</v>
      </c>
      <c r="M69" s="30">
        <v>37.57</v>
      </c>
      <c r="N69" s="30">
        <v>24.0</v>
      </c>
      <c r="O69" s="30" t="s">
        <v>134</v>
      </c>
      <c r="P69" s="30">
        <v>0.5</v>
      </c>
      <c r="Q69" s="30" t="s">
        <v>135</v>
      </c>
    </row>
    <row r="70" ht="15.75" customHeight="1">
      <c r="A70" s="30">
        <v>7.3408037E7</v>
      </c>
      <c r="B70" s="30">
        <v>450.0</v>
      </c>
      <c r="C70" s="30">
        <v>100.0</v>
      </c>
      <c r="D70" s="30">
        <v>125.0</v>
      </c>
      <c r="E70" s="30">
        <v>675.0</v>
      </c>
      <c r="F70" s="30" t="s">
        <v>100</v>
      </c>
      <c r="G70" s="30">
        <v>768.23</v>
      </c>
      <c r="H70" s="30">
        <v>721.61</v>
      </c>
      <c r="I70" s="30" t="s">
        <v>98</v>
      </c>
      <c r="J70" s="30">
        <v>21.0</v>
      </c>
      <c r="K70" s="30">
        <v>10.7</v>
      </c>
      <c r="L70" s="30">
        <v>7.4</v>
      </c>
      <c r="M70" s="30">
        <v>38.08</v>
      </c>
      <c r="N70" s="30">
        <v>12.0</v>
      </c>
      <c r="O70" s="30" t="s">
        <v>134</v>
      </c>
      <c r="P70" s="30">
        <v>0.5</v>
      </c>
      <c r="Q70" s="30" t="s">
        <v>135</v>
      </c>
    </row>
    <row r="71" ht="15.75" customHeight="1">
      <c r="A71" s="30">
        <v>4.9679107E7</v>
      </c>
      <c r="B71" s="30">
        <v>300.0</v>
      </c>
      <c r="C71" s="30">
        <v>150.0</v>
      </c>
      <c r="D71" s="30">
        <v>125.0</v>
      </c>
      <c r="E71" s="30">
        <v>575.0</v>
      </c>
      <c r="F71" s="30" t="s">
        <v>104</v>
      </c>
      <c r="G71" s="30">
        <v>814.88</v>
      </c>
      <c r="H71" s="30">
        <v>670.95</v>
      </c>
      <c r="I71" s="30" t="s">
        <v>100</v>
      </c>
      <c r="J71" s="30">
        <v>40.0</v>
      </c>
      <c r="K71" s="30">
        <v>17.8</v>
      </c>
      <c r="L71" s="30">
        <v>10.9</v>
      </c>
      <c r="M71" s="30">
        <v>50.37</v>
      </c>
      <c r="N71" s="30">
        <v>24.0</v>
      </c>
      <c r="O71" s="30" t="s">
        <v>133</v>
      </c>
      <c r="P71" s="30">
        <v>0.6</v>
      </c>
      <c r="Q71" s="30" t="s">
        <v>135</v>
      </c>
    </row>
    <row r="72" ht="15.75" customHeight="1">
      <c r="A72" s="30">
        <v>8.4707244E7</v>
      </c>
      <c r="B72" s="30">
        <v>450.0</v>
      </c>
      <c r="C72" s="30">
        <v>150.0</v>
      </c>
      <c r="D72" s="30">
        <v>200.0</v>
      </c>
      <c r="E72" s="30">
        <v>800.0</v>
      </c>
      <c r="F72" s="30" t="s">
        <v>94</v>
      </c>
      <c r="G72" s="30">
        <v>839.96</v>
      </c>
      <c r="H72" s="30">
        <v>819.98</v>
      </c>
      <c r="I72" s="30" t="s">
        <v>94</v>
      </c>
      <c r="J72" s="30">
        <v>49.0</v>
      </c>
      <c r="K72" s="30">
        <v>8.6</v>
      </c>
      <c r="L72" s="30">
        <v>6.3</v>
      </c>
      <c r="M72" s="30">
        <v>38.51</v>
      </c>
      <c r="N72" s="30">
        <v>18.0</v>
      </c>
      <c r="O72" s="30" t="s">
        <v>134</v>
      </c>
      <c r="P72" s="30">
        <v>0.5</v>
      </c>
      <c r="Q72" s="30" t="s">
        <v>135</v>
      </c>
    </row>
    <row r="73" ht="15.75" customHeight="1">
      <c r="A73" s="30">
        <v>2.3584921E7</v>
      </c>
      <c r="B73" s="30">
        <v>450.0</v>
      </c>
      <c r="C73" s="30">
        <v>150.0</v>
      </c>
      <c r="D73" s="30">
        <v>125.0</v>
      </c>
      <c r="E73" s="30">
        <v>725.0</v>
      </c>
      <c r="F73" s="30" t="s">
        <v>98</v>
      </c>
      <c r="G73" s="30">
        <v>768.66</v>
      </c>
      <c r="H73" s="30">
        <v>742.46</v>
      </c>
      <c r="I73" s="30" t="s">
        <v>98</v>
      </c>
      <c r="J73" s="30">
        <v>35.0</v>
      </c>
      <c r="K73" s="30">
        <v>4.5</v>
      </c>
      <c r="L73" s="30">
        <v>8.7</v>
      </c>
      <c r="M73" s="30">
        <v>44.63</v>
      </c>
      <c r="N73" s="30">
        <v>18.0</v>
      </c>
      <c r="O73" s="30" t="s">
        <v>133</v>
      </c>
      <c r="P73" s="30">
        <v>0.6</v>
      </c>
      <c r="Q73" s="30" t="s">
        <v>135</v>
      </c>
    </row>
    <row r="74" ht="15.75" customHeight="1">
      <c r="A74" s="30">
        <v>5.8277689E7</v>
      </c>
      <c r="B74" s="30">
        <v>300.0</v>
      </c>
      <c r="C74" s="30">
        <v>150.0</v>
      </c>
      <c r="D74" s="30">
        <v>125.0</v>
      </c>
      <c r="E74" s="30">
        <v>575.0</v>
      </c>
      <c r="F74" s="30" t="s">
        <v>104</v>
      </c>
      <c r="G74" s="30">
        <v>789.79</v>
      </c>
      <c r="H74" s="30">
        <v>682.39</v>
      </c>
      <c r="I74" s="30" t="s">
        <v>100</v>
      </c>
      <c r="J74" s="30">
        <v>8.0</v>
      </c>
      <c r="K74" s="30">
        <v>0.4</v>
      </c>
      <c r="L74" s="30">
        <v>12.0</v>
      </c>
      <c r="M74" s="30">
        <v>59.92</v>
      </c>
      <c r="N74" s="30">
        <v>18.0</v>
      </c>
      <c r="O74" s="30" t="s">
        <v>134</v>
      </c>
      <c r="P74" s="30">
        <v>0.5</v>
      </c>
      <c r="Q74" s="30" t="s">
        <v>135</v>
      </c>
    </row>
    <row r="75" ht="15.75" customHeight="1">
      <c r="A75" s="30">
        <v>9.8230331E7</v>
      </c>
      <c r="B75" s="30">
        <v>300.0</v>
      </c>
      <c r="C75" s="30">
        <v>150.0</v>
      </c>
      <c r="D75" s="30">
        <v>125.0</v>
      </c>
      <c r="E75" s="30">
        <v>575.0</v>
      </c>
      <c r="F75" s="30" t="s">
        <v>104</v>
      </c>
      <c r="G75" s="30">
        <v>807.16</v>
      </c>
      <c r="H75" s="30">
        <v>667.86</v>
      </c>
      <c r="I75" s="30" t="s">
        <v>100</v>
      </c>
      <c r="J75" s="30">
        <v>48.0</v>
      </c>
      <c r="K75" s="30">
        <v>14.5</v>
      </c>
      <c r="L75" s="30">
        <v>13.2</v>
      </c>
      <c r="M75" s="30">
        <v>51.55</v>
      </c>
      <c r="N75" s="30">
        <v>24.0</v>
      </c>
      <c r="O75" s="30" t="s">
        <v>133</v>
      </c>
      <c r="P75" s="30">
        <v>0.6</v>
      </c>
      <c r="Q75" s="30" t="s">
        <v>135</v>
      </c>
    </row>
    <row r="76" ht="15.75" customHeight="1">
      <c r="A76" s="30">
        <v>9.5996418E7</v>
      </c>
      <c r="B76" s="30">
        <v>300.0</v>
      </c>
      <c r="C76" s="30">
        <v>150.0</v>
      </c>
      <c r="D76" s="30">
        <v>200.0</v>
      </c>
      <c r="E76" s="30">
        <v>650.0</v>
      </c>
      <c r="F76" s="30" t="s">
        <v>100</v>
      </c>
      <c r="G76" s="30">
        <v>811.06</v>
      </c>
      <c r="H76" s="30">
        <v>714.42</v>
      </c>
      <c r="I76" s="30" t="s">
        <v>98</v>
      </c>
      <c r="J76" s="30">
        <v>41.0</v>
      </c>
      <c r="K76" s="30">
        <v>4.0</v>
      </c>
      <c r="L76" s="30">
        <v>12.4</v>
      </c>
      <c r="M76" s="30">
        <v>45.9</v>
      </c>
      <c r="N76" s="30">
        <v>12.0</v>
      </c>
      <c r="O76" s="30" t="s">
        <v>133</v>
      </c>
      <c r="P76" s="30">
        <v>0.6</v>
      </c>
      <c r="Q76" s="30" t="s">
        <v>135</v>
      </c>
    </row>
    <row r="77" ht="15.75" customHeight="1">
      <c r="A77" s="30">
        <v>4.150828E7</v>
      </c>
      <c r="B77" s="30">
        <v>450.0</v>
      </c>
      <c r="C77" s="30">
        <v>150.0</v>
      </c>
      <c r="D77" s="30">
        <v>125.0</v>
      </c>
      <c r="E77" s="30">
        <v>725.0</v>
      </c>
      <c r="F77" s="30" t="s">
        <v>98</v>
      </c>
      <c r="G77" s="30">
        <v>756.34</v>
      </c>
      <c r="H77" s="30">
        <v>740.67</v>
      </c>
      <c r="I77" s="30" t="s">
        <v>98</v>
      </c>
      <c r="J77" s="30">
        <v>17.0</v>
      </c>
      <c r="K77" s="30">
        <v>11.9</v>
      </c>
      <c r="L77" s="30">
        <v>8.7</v>
      </c>
      <c r="M77" s="30">
        <v>43.63</v>
      </c>
      <c r="N77" s="30">
        <v>12.0</v>
      </c>
      <c r="O77" s="30" t="s">
        <v>134</v>
      </c>
      <c r="P77" s="30">
        <v>0.5</v>
      </c>
      <c r="Q77" s="30" t="s">
        <v>135</v>
      </c>
    </row>
    <row r="78" ht="15.75" customHeight="1">
      <c r="A78" s="30">
        <v>8.6539364E7</v>
      </c>
      <c r="B78" s="30">
        <v>450.0</v>
      </c>
      <c r="C78" s="30">
        <v>100.0</v>
      </c>
      <c r="D78" s="30">
        <v>125.0</v>
      </c>
      <c r="E78" s="30">
        <v>675.0</v>
      </c>
      <c r="F78" s="30" t="s">
        <v>100</v>
      </c>
      <c r="G78" s="30">
        <v>791.18</v>
      </c>
      <c r="H78" s="30">
        <v>721.47</v>
      </c>
      <c r="I78" s="30" t="s">
        <v>98</v>
      </c>
      <c r="J78" s="30">
        <v>9.0</v>
      </c>
      <c r="K78" s="30">
        <v>0.1</v>
      </c>
      <c r="L78" s="30">
        <v>6.2</v>
      </c>
      <c r="M78" s="30">
        <v>44.19</v>
      </c>
      <c r="N78" s="30">
        <v>18.0</v>
      </c>
      <c r="O78" s="30" t="s">
        <v>133</v>
      </c>
      <c r="P78" s="30">
        <v>0.6</v>
      </c>
      <c r="Q78" s="30" t="s">
        <v>135</v>
      </c>
    </row>
    <row r="79" ht="15.75" customHeight="1">
      <c r="A79" s="30">
        <v>6.9697831E7</v>
      </c>
      <c r="B79" s="30">
        <v>530.0</v>
      </c>
      <c r="C79" s="30">
        <v>150.0</v>
      </c>
      <c r="D79" s="30">
        <v>125.0</v>
      </c>
      <c r="E79" s="30">
        <v>805.0</v>
      </c>
      <c r="F79" s="30" t="s">
        <v>94</v>
      </c>
      <c r="G79" s="30">
        <v>842.64</v>
      </c>
      <c r="H79" s="30">
        <v>823.82</v>
      </c>
      <c r="I79" s="30" t="s">
        <v>94</v>
      </c>
      <c r="J79" s="30">
        <v>33.0</v>
      </c>
      <c r="K79" s="30">
        <v>14.6</v>
      </c>
      <c r="L79" s="30">
        <v>14.4</v>
      </c>
      <c r="M79" s="30">
        <v>35.44</v>
      </c>
      <c r="N79" s="30">
        <v>24.0</v>
      </c>
      <c r="O79" s="30" t="s">
        <v>134</v>
      </c>
      <c r="P79" s="30">
        <v>0.5</v>
      </c>
      <c r="Q79" s="30" t="s">
        <v>135</v>
      </c>
    </row>
    <row r="80" ht="15.75" customHeight="1">
      <c r="A80" s="30">
        <v>5.6534282E7</v>
      </c>
      <c r="B80" s="30">
        <v>300.0</v>
      </c>
      <c r="C80" s="30">
        <v>150.0</v>
      </c>
      <c r="D80" s="30">
        <v>125.0</v>
      </c>
      <c r="E80" s="30">
        <v>575.0</v>
      </c>
      <c r="F80" s="30" t="s">
        <v>104</v>
      </c>
      <c r="G80" s="30">
        <v>813.38</v>
      </c>
      <c r="H80" s="30">
        <v>694.19</v>
      </c>
      <c r="I80" s="30" t="s">
        <v>100</v>
      </c>
      <c r="J80" s="30">
        <v>29.0</v>
      </c>
      <c r="K80" s="30">
        <v>3.3</v>
      </c>
      <c r="L80" s="30">
        <v>6.6</v>
      </c>
      <c r="M80" s="30">
        <v>54.44</v>
      </c>
      <c r="N80" s="30">
        <v>24.0</v>
      </c>
      <c r="O80" s="30" t="s">
        <v>134</v>
      </c>
      <c r="P80" s="30">
        <v>0.5</v>
      </c>
      <c r="Q80" s="30" t="s">
        <v>135</v>
      </c>
    </row>
    <row r="81" ht="15.75" customHeight="1">
      <c r="A81" s="30">
        <v>5.6172148E7</v>
      </c>
      <c r="B81" s="30">
        <v>530.0</v>
      </c>
      <c r="C81" s="30">
        <v>150.0</v>
      </c>
      <c r="D81" s="30">
        <v>200.0</v>
      </c>
      <c r="E81" s="30">
        <v>880.0</v>
      </c>
      <c r="F81" s="30" t="s">
        <v>92</v>
      </c>
      <c r="G81" s="30">
        <v>803.98</v>
      </c>
      <c r="H81" s="30">
        <v>849.59</v>
      </c>
      <c r="I81" s="30" t="s">
        <v>94</v>
      </c>
      <c r="J81" s="30">
        <v>37.0</v>
      </c>
      <c r="K81" s="30">
        <v>8.8</v>
      </c>
      <c r="L81" s="30">
        <v>8.8</v>
      </c>
      <c r="M81" s="30">
        <v>43.88</v>
      </c>
      <c r="N81" s="30">
        <v>18.0</v>
      </c>
      <c r="O81" s="30" t="s">
        <v>133</v>
      </c>
      <c r="P81" s="30">
        <v>0.6</v>
      </c>
      <c r="Q81" s="30" t="s">
        <v>135</v>
      </c>
    </row>
    <row r="82" ht="15.75" customHeight="1">
      <c r="A82" s="30">
        <v>8.5708464E7</v>
      </c>
      <c r="B82" s="30">
        <v>200.0</v>
      </c>
      <c r="C82" s="30">
        <v>150.0</v>
      </c>
      <c r="D82" s="30">
        <v>75.0</v>
      </c>
      <c r="E82" s="30">
        <v>425.0</v>
      </c>
      <c r="F82" s="30" t="s">
        <v>110</v>
      </c>
      <c r="G82" s="30">
        <v>664.73</v>
      </c>
      <c r="H82" s="30">
        <v>544.86</v>
      </c>
      <c r="I82" s="30" t="s">
        <v>106</v>
      </c>
      <c r="J82" s="30">
        <v>12.0</v>
      </c>
      <c r="K82" s="30">
        <v>31.3</v>
      </c>
      <c r="L82" s="30">
        <v>28.1</v>
      </c>
      <c r="M82" s="30">
        <v>71.85</v>
      </c>
      <c r="N82" s="30">
        <v>12.0</v>
      </c>
      <c r="O82" s="30" t="s">
        <v>134</v>
      </c>
      <c r="P82" s="30">
        <v>0.5</v>
      </c>
      <c r="Q82" s="30" t="s">
        <v>136</v>
      </c>
    </row>
    <row r="83" ht="15.75" customHeight="1">
      <c r="A83" s="30">
        <v>8.6480556E7</v>
      </c>
      <c r="B83" s="30">
        <v>300.0</v>
      </c>
      <c r="C83" s="30">
        <v>50.0</v>
      </c>
      <c r="D83" s="30">
        <v>125.0</v>
      </c>
      <c r="E83" s="30">
        <v>475.0</v>
      </c>
      <c r="F83" s="30" t="s">
        <v>110</v>
      </c>
      <c r="G83" s="30">
        <v>622.75</v>
      </c>
      <c r="H83" s="30">
        <v>548.88</v>
      </c>
      <c r="I83" s="30" t="s">
        <v>106</v>
      </c>
      <c r="J83" s="30">
        <v>41.0</v>
      </c>
      <c r="K83" s="30">
        <v>29.9</v>
      </c>
      <c r="L83" s="30">
        <v>24.8</v>
      </c>
      <c r="M83" s="30">
        <v>70.06</v>
      </c>
      <c r="N83" s="30">
        <v>6.0</v>
      </c>
      <c r="O83" s="30" t="s">
        <v>134</v>
      </c>
      <c r="P83" s="30">
        <v>0.5</v>
      </c>
      <c r="Q83" s="30" t="s">
        <v>136</v>
      </c>
    </row>
    <row r="84" ht="15.75" customHeight="1">
      <c r="A84" s="30">
        <v>5.0273673E7</v>
      </c>
      <c r="B84" s="30">
        <v>300.0</v>
      </c>
      <c r="C84" s="30">
        <v>50.0</v>
      </c>
      <c r="D84" s="30">
        <v>75.0</v>
      </c>
      <c r="E84" s="30">
        <v>425.0</v>
      </c>
      <c r="F84" s="30" t="s">
        <v>110</v>
      </c>
      <c r="G84" s="30">
        <v>723.19</v>
      </c>
      <c r="H84" s="30">
        <v>574.09</v>
      </c>
      <c r="I84" s="30" t="s">
        <v>104</v>
      </c>
      <c r="J84" s="30">
        <v>40.0</v>
      </c>
      <c r="K84" s="30">
        <v>36.4</v>
      </c>
      <c r="L84" s="30">
        <v>19.9</v>
      </c>
      <c r="M84" s="30">
        <v>76.41</v>
      </c>
      <c r="N84" s="30">
        <v>9.0</v>
      </c>
      <c r="O84" s="30" t="s">
        <v>134</v>
      </c>
      <c r="P84" s="30">
        <v>0.5</v>
      </c>
      <c r="Q84" s="30" t="s">
        <v>136</v>
      </c>
    </row>
    <row r="85" ht="15.75" customHeight="1">
      <c r="A85" s="30">
        <v>1.0290855E7</v>
      </c>
      <c r="B85" s="30">
        <v>300.0</v>
      </c>
      <c r="C85" s="30">
        <v>100.0</v>
      </c>
      <c r="D85" s="30">
        <v>125.0</v>
      </c>
      <c r="E85" s="30">
        <v>525.0</v>
      </c>
      <c r="F85" s="30" t="s">
        <v>106</v>
      </c>
      <c r="G85" s="30">
        <v>708.01</v>
      </c>
      <c r="H85" s="30">
        <v>634.8</v>
      </c>
      <c r="I85" s="30" t="s">
        <v>102</v>
      </c>
      <c r="J85" s="30">
        <v>40.0</v>
      </c>
      <c r="K85" s="30">
        <v>31.2</v>
      </c>
      <c r="L85" s="30">
        <v>19.7</v>
      </c>
      <c r="M85" s="30">
        <v>64.31</v>
      </c>
      <c r="N85" s="30">
        <v>6.0</v>
      </c>
      <c r="O85" s="30" t="s">
        <v>137</v>
      </c>
      <c r="P85" s="30">
        <v>0.4</v>
      </c>
      <c r="Q85" s="30" t="s">
        <v>136</v>
      </c>
    </row>
    <row r="86" ht="15.75" customHeight="1">
      <c r="A86" s="30">
        <v>3.8556262E7</v>
      </c>
      <c r="B86" s="30">
        <v>300.0</v>
      </c>
      <c r="C86" s="30">
        <v>50.0</v>
      </c>
      <c r="D86" s="30">
        <v>75.0</v>
      </c>
      <c r="E86" s="30">
        <v>425.0</v>
      </c>
      <c r="F86" s="30" t="s">
        <v>110</v>
      </c>
      <c r="G86" s="30">
        <v>669.3</v>
      </c>
      <c r="H86" s="30">
        <v>571.58</v>
      </c>
      <c r="I86" s="30" t="s">
        <v>104</v>
      </c>
      <c r="J86" s="30">
        <v>16.0</v>
      </c>
      <c r="K86" s="30">
        <v>20.4</v>
      </c>
      <c r="L86" s="30">
        <v>28.2</v>
      </c>
      <c r="M86" s="30">
        <v>70.42</v>
      </c>
      <c r="N86" s="30">
        <v>12.0</v>
      </c>
      <c r="O86" s="30" t="s">
        <v>137</v>
      </c>
      <c r="P86" s="30">
        <v>0.4</v>
      </c>
      <c r="Q86" s="30" t="s">
        <v>136</v>
      </c>
    </row>
    <row r="87" ht="15.75" customHeight="1">
      <c r="A87" s="30">
        <v>4.2207711E7</v>
      </c>
      <c r="B87" s="30">
        <v>300.0</v>
      </c>
      <c r="C87" s="30">
        <v>50.0</v>
      </c>
      <c r="D87" s="30">
        <v>75.0</v>
      </c>
      <c r="E87" s="30">
        <v>425.0</v>
      </c>
      <c r="F87" s="30" t="s">
        <v>110</v>
      </c>
      <c r="G87" s="30">
        <v>738.37</v>
      </c>
      <c r="H87" s="30">
        <v>613.02</v>
      </c>
      <c r="I87" s="30" t="s">
        <v>102</v>
      </c>
      <c r="J87" s="30">
        <v>46.0</v>
      </c>
      <c r="K87" s="30">
        <v>22.7</v>
      </c>
      <c r="L87" s="30">
        <v>24.5</v>
      </c>
      <c r="M87" s="30">
        <v>70.75</v>
      </c>
      <c r="N87" s="30">
        <v>6.0</v>
      </c>
      <c r="O87" s="30" t="s">
        <v>137</v>
      </c>
      <c r="P87" s="30">
        <v>0.4</v>
      </c>
      <c r="Q87" s="30" t="s">
        <v>136</v>
      </c>
    </row>
    <row r="88" ht="15.75" customHeight="1">
      <c r="A88" s="30">
        <v>6.0585161E7</v>
      </c>
      <c r="B88" s="30">
        <v>300.0</v>
      </c>
      <c r="C88" s="30">
        <v>100.0</v>
      </c>
      <c r="D88" s="30">
        <v>75.0</v>
      </c>
      <c r="E88" s="30">
        <v>475.0</v>
      </c>
      <c r="F88" s="30" t="s">
        <v>110</v>
      </c>
      <c r="G88" s="30">
        <v>667.63</v>
      </c>
      <c r="H88" s="30">
        <v>571.31</v>
      </c>
      <c r="I88" s="30" t="s">
        <v>104</v>
      </c>
      <c r="J88" s="30">
        <v>25.0</v>
      </c>
      <c r="K88" s="30">
        <v>17.3</v>
      </c>
      <c r="L88" s="30">
        <v>12.1</v>
      </c>
      <c r="M88" s="30">
        <v>79.42</v>
      </c>
      <c r="N88" s="30">
        <v>12.0</v>
      </c>
      <c r="O88" s="30" t="s">
        <v>134</v>
      </c>
      <c r="P88" s="30">
        <v>0.5</v>
      </c>
      <c r="Q88" s="30" t="s">
        <v>136</v>
      </c>
    </row>
    <row r="89" ht="15.75" customHeight="1">
      <c r="A89" s="30">
        <v>9.3530305E7</v>
      </c>
      <c r="B89" s="30">
        <v>200.0</v>
      </c>
      <c r="C89" s="30">
        <v>50.0</v>
      </c>
      <c r="D89" s="30">
        <v>125.0</v>
      </c>
      <c r="E89" s="30">
        <v>375.0</v>
      </c>
      <c r="F89" s="30" t="s">
        <v>112</v>
      </c>
      <c r="G89" s="30">
        <v>659.85</v>
      </c>
      <c r="H89" s="30">
        <v>517.43</v>
      </c>
      <c r="I89" s="30" t="s">
        <v>106</v>
      </c>
      <c r="J89" s="30">
        <v>13.0</v>
      </c>
      <c r="K89" s="30">
        <v>25.0</v>
      </c>
      <c r="L89" s="30">
        <v>16.2</v>
      </c>
      <c r="M89" s="30">
        <v>57.96</v>
      </c>
      <c r="N89" s="30">
        <v>12.0</v>
      </c>
      <c r="O89" s="30" t="s">
        <v>134</v>
      </c>
      <c r="P89" s="30">
        <v>0.5</v>
      </c>
      <c r="Q89" s="30" t="s">
        <v>136</v>
      </c>
    </row>
    <row r="90" ht="15.75" customHeight="1">
      <c r="A90" s="30">
        <v>9.0299166E7</v>
      </c>
      <c r="B90" s="30">
        <v>200.0</v>
      </c>
      <c r="C90" s="30">
        <v>100.0</v>
      </c>
      <c r="D90" s="30">
        <v>125.0</v>
      </c>
      <c r="E90" s="30">
        <v>425.0</v>
      </c>
      <c r="F90" s="30" t="s">
        <v>110</v>
      </c>
      <c r="G90" s="30">
        <v>651.95</v>
      </c>
      <c r="H90" s="30">
        <v>538.48</v>
      </c>
      <c r="I90" s="30" t="s">
        <v>106</v>
      </c>
      <c r="J90" s="30">
        <v>38.0</v>
      </c>
      <c r="K90" s="30">
        <v>18.4</v>
      </c>
      <c r="L90" s="30">
        <v>18.3</v>
      </c>
      <c r="M90" s="30">
        <v>80.22</v>
      </c>
      <c r="N90" s="30">
        <v>9.0</v>
      </c>
      <c r="O90" s="30" t="s">
        <v>134</v>
      </c>
      <c r="P90" s="30">
        <v>0.5</v>
      </c>
      <c r="Q90" s="30" t="s">
        <v>136</v>
      </c>
    </row>
    <row r="91" ht="15.75" customHeight="1">
      <c r="A91" s="30">
        <v>1.4096889E7</v>
      </c>
      <c r="B91" s="30">
        <v>300.0</v>
      </c>
      <c r="C91" s="30">
        <v>100.0</v>
      </c>
      <c r="D91" s="30">
        <v>75.0</v>
      </c>
      <c r="E91" s="30">
        <v>475.0</v>
      </c>
      <c r="F91" s="30" t="s">
        <v>110</v>
      </c>
      <c r="G91" s="30">
        <v>605.08</v>
      </c>
      <c r="H91" s="30">
        <v>540.04</v>
      </c>
      <c r="I91" s="30" t="s">
        <v>106</v>
      </c>
      <c r="J91" s="30">
        <v>33.0</v>
      </c>
      <c r="K91" s="30">
        <v>42.4</v>
      </c>
      <c r="L91" s="30">
        <v>15.0</v>
      </c>
      <c r="M91" s="30">
        <v>70.22</v>
      </c>
      <c r="N91" s="30">
        <v>9.0</v>
      </c>
      <c r="O91" s="30" t="s">
        <v>134</v>
      </c>
      <c r="P91" s="30">
        <v>0.5</v>
      </c>
      <c r="Q91" s="30" t="s">
        <v>136</v>
      </c>
    </row>
    <row r="92" ht="15.75" customHeight="1">
      <c r="A92" s="30">
        <v>6.6334331E7</v>
      </c>
      <c r="B92" s="30">
        <v>300.0</v>
      </c>
      <c r="C92" s="30">
        <v>100.0</v>
      </c>
      <c r="D92" s="30">
        <v>75.0</v>
      </c>
      <c r="E92" s="30">
        <v>475.0</v>
      </c>
      <c r="F92" s="30" t="s">
        <v>110</v>
      </c>
      <c r="G92" s="30">
        <v>683.6</v>
      </c>
      <c r="H92" s="30">
        <v>600.16</v>
      </c>
      <c r="I92" s="30" t="s">
        <v>102</v>
      </c>
      <c r="J92" s="30">
        <v>44.0</v>
      </c>
      <c r="K92" s="30">
        <v>34.9</v>
      </c>
      <c r="L92" s="30">
        <v>13.6</v>
      </c>
      <c r="M92" s="30">
        <v>83.64</v>
      </c>
      <c r="N92" s="30">
        <v>6.0</v>
      </c>
      <c r="O92" s="30" t="s">
        <v>137</v>
      </c>
      <c r="P92" s="30">
        <v>0.4</v>
      </c>
      <c r="Q92" s="30" t="s">
        <v>136</v>
      </c>
    </row>
    <row r="93" ht="15.75" customHeight="1">
      <c r="A93" s="30">
        <v>6.667199E7</v>
      </c>
      <c r="B93" s="30">
        <v>300.0</v>
      </c>
      <c r="C93" s="30">
        <v>100.0</v>
      </c>
      <c r="D93" s="30">
        <v>75.0</v>
      </c>
      <c r="E93" s="30">
        <v>475.0</v>
      </c>
      <c r="F93" s="30" t="s">
        <v>110</v>
      </c>
      <c r="G93" s="30">
        <v>628.6</v>
      </c>
      <c r="H93" s="30">
        <v>551.8</v>
      </c>
      <c r="I93" s="30" t="s">
        <v>104</v>
      </c>
      <c r="J93" s="30">
        <v>34.0</v>
      </c>
      <c r="K93" s="30">
        <v>37.5</v>
      </c>
      <c r="L93" s="30">
        <v>14.2</v>
      </c>
      <c r="M93" s="30">
        <v>81.43</v>
      </c>
      <c r="N93" s="30">
        <v>9.0</v>
      </c>
      <c r="O93" s="30" t="s">
        <v>134</v>
      </c>
      <c r="P93" s="30">
        <v>0.5</v>
      </c>
      <c r="Q93" s="30" t="s">
        <v>136</v>
      </c>
    </row>
    <row r="94" ht="15.75" customHeight="1">
      <c r="A94" s="30">
        <v>5.126669E7</v>
      </c>
      <c r="B94" s="30">
        <v>300.0</v>
      </c>
      <c r="C94" s="30">
        <v>100.0</v>
      </c>
      <c r="D94" s="30">
        <v>75.0</v>
      </c>
      <c r="E94" s="30">
        <v>475.0</v>
      </c>
      <c r="F94" s="30" t="s">
        <v>110</v>
      </c>
      <c r="G94" s="30">
        <v>660.11</v>
      </c>
      <c r="H94" s="30">
        <v>586.07</v>
      </c>
      <c r="I94" s="30" t="s">
        <v>104</v>
      </c>
      <c r="J94" s="30">
        <v>8.0</v>
      </c>
      <c r="K94" s="30">
        <v>36.4</v>
      </c>
      <c r="L94" s="30">
        <v>20.6</v>
      </c>
      <c r="M94" s="30">
        <v>68.71</v>
      </c>
      <c r="N94" s="30">
        <v>6.0</v>
      </c>
      <c r="O94" s="30" t="s">
        <v>137</v>
      </c>
      <c r="P94" s="30">
        <v>0.4</v>
      </c>
      <c r="Q94" s="30" t="s">
        <v>136</v>
      </c>
    </row>
    <row r="95" ht="15.75" customHeight="1">
      <c r="A95" s="30">
        <v>5.223213E7</v>
      </c>
      <c r="B95" s="30">
        <v>200.0</v>
      </c>
      <c r="C95" s="30">
        <v>150.0</v>
      </c>
      <c r="D95" s="30">
        <v>125.0</v>
      </c>
      <c r="E95" s="30">
        <v>475.0</v>
      </c>
      <c r="F95" s="30" t="s">
        <v>110</v>
      </c>
      <c r="G95" s="30">
        <v>603.81</v>
      </c>
      <c r="H95" s="30">
        <v>539.4</v>
      </c>
      <c r="I95" s="30" t="s">
        <v>106</v>
      </c>
      <c r="J95" s="30">
        <v>11.0</v>
      </c>
      <c r="K95" s="30">
        <v>26.2</v>
      </c>
      <c r="L95" s="30">
        <v>15.4</v>
      </c>
      <c r="M95" s="30">
        <v>72.54</v>
      </c>
      <c r="N95" s="30">
        <v>6.0</v>
      </c>
      <c r="O95" s="30" t="s">
        <v>134</v>
      </c>
      <c r="P95" s="30">
        <v>0.5</v>
      </c>
      <c r="Q95" s="30" t="s">
        <v>136</v>
      </c>
    </row>
    <row r="96" ht="15.75" customHeight="1">
      <c r="A96" s="30">
        <v>4.2634298E7</v>
      </c>
      <c r="B96" s="30">
        <v>300.0</v>
      </c>
      <c r="C96" s="30">
        <v>50.0</v>
      </c>
      <c r="D96" s="30">
        <v>75.0</v>
      </c>
      <c r="E96" s="30">
        <v>425.0</v>
      </c>
      <c r="F96" s="30" t="s">
        <v>110</v>
      </c>
      <c r="G96" s="30">
        <v>650.89</v>
      </c>
      <c r="H96" s="30">
        <v>560.53</v>
      </c>
      <c r="I96" s="30" t="s">
        <v>104</v>
      </c>
      <c r="J96" s="30">
        <v>37.0</v>
      </c>
      <c r="K96" s="30">
        <v>21.9</v>
      </c>
      <c r="L96" s="30">
        <v>23.4</v>
      </c>
      <c r="M96" s="30">
        <v>50.69</v>
      </c>
      <c r="N96" s="30">
        <v>9.0</v>
      </c>
      <c r="O96" s="30" t="s">
        <v>137</v>
      </c>
      <c r="P96" s="30">
        <v>0.4</v>
      </c>
      <c r="Q96" s="30" t="s">
        <v>136</v>
      </c>
    </row>
    <row r="97" ht="15.75" customHeight="1">
      <c r="A97" s="30">
        <v>3.5489204E7</v>
      </c>
      <c r="B97" s="30">
        <v>300.0</v>
      </c>
      <c r="C97" s="30">
        <v>100.0</v>
      </c>
      <c r="D97" s="30">
        <v>125.0</v>
      </c>
      <c r="E97" s="30">
        <v>525.0</v>
      </c>
      <c r="F97" s="30" t="s">
        <v>106</v>
      </c>
      <c r="G97" s="30">
        <v>621.16</v>
      </c>
      <c r="H97" s="30">
        <v>582.7</v>
      </c>
      <c r="I97" s="30" t="s">
        <v>104</v>
      </c>
      <c r="J97" s="30">
        <v>22.0</v>
      </c>
      <c r="K97" s="30">
        <v>44.7</v>
      </c>
      <c r="L97" s="30">
        <v>22.1</v>
      </c>
      <c r="M97" s="30">
        <v>78.24</v>
      </c>
      <c r="N97" s="30">
        <v>6.0</v>
      </c>
      <c r="O97" s="30" t="s">
        <v>137</v>
      </c>
      <c r="P97" s="30">
        <v>0.4</v>
      </c>
      <c r="Q97" s="30" t="s">
        <v>136</v>
      </c>
    </row>
    <row r="98" ht="15.75" customHeight="1">
      <c r="A98" s="30">
        <v>8.8222722E7</v>
      </c>
      <c r="B98" s="30">
        <v>200.0</v>
      </c>
      <c r="C98" s="30">
        <v>50.0</v>
      </c>
      <c r="D98" s="30">
        <v>75.0</v>
      </c>
      <c r="E98" s="30">
        <v>325.0</v>
      </c>
      <c r="F98" s="30" t="s">
        <v>112</v>
      </c>
      <c r="G98" s="30">
        <v>733.9</v>
      </c>
      <c r="H98" s="30">
        <v>570.34</v>
      </c>
      <c r="I98" s="30" t="s">
        <v>104</v>
      </c>
      <c r="J98" s="30">
        <v>24.0</v>
      </c>
      <c r="K98" s="30">
        <v>15.8</v>
      </c>
      <c r="L98" s="30">
        <v>13.6</v>
      </c>
      <c r="M98" s="30">
        <v>70.41</v>
      </c>
      <c r="N98" s="30">
        <v>9.0</v>
      </c>
      <c r="O98" s="30" t="s">
        <v>137</v>
      </c>
      <c r="P98" s="30">
        <v>0.4</v>
      </c>
      <c r="Q98" s="30" t="s">
        <v>136</v>
      </c>
    </row>
    <row r="99" ht="15.75" customHeight="1">
      <c r="A99" s="30">
        <v>6.7669968E7</v>
      </c>
      <c r="B99" s="30">
        <v>200.0</v>
      </c>
      <c r="C99" s="30">
        <v>150.0</v>
      </c>
      <c r="D99" s="30">
        <v>75.0</v>
      </c>
      <c r="E99" s="30">
        <v>425.0</v>
      </c>
      <c r="F99" s="30" t="s">
        <v>110</v>
      </c>
      <c r="G99" s="30">
        <v>654.41</v>
      </c>
      <c r="H99" s="30">
        <v>562.65</v>
      </c>
      <c r="I99" s="30" t="s">
        <v>104</v>
      </c>
      <c r="J99" s="30">
        <v>39.0</v>
      </c>
      <c r="K99" s="30">
        <v>16.0</v>
      </c>
      <c r="L99" s="30">
        <v>26.6</v>
      </c>
      <c r="M99" s="30">
        <v>62.08</v>
      </c>
      <c r="N99" s="30">
        <v>9.0</v>
      </c>
      <c r="O99" s="30" t="s">
        <v>137</v>
      </c>
      <c r="P99" s="30">
        <v>0.4</v>
      </c>
      <c r="Q99" s="30" t="s">
        <v>136</v>
      </c>
    </row>
    <row r="100" ht="15.75" customHeight="1">
      <c r="A100" s="30">
        <v>1.4683173E7</v>
      </c>
      <c r="B100" s="30">
        <v>300.0</v>
      </c>
      <c r="C100" s="30">
        <v>100.0</v>
      </c>
      <c r="D100" s="30">
        <v>75.0</v>
      </c>
      <c r="E100" s="30">
        <v>475.0</v>
      </c>
      <c r="F100" s="30" t="s">
        <v>110</v>
      </c>
      <c r="G100" s="30">
        <v>672.72</v>
      </c>
      <c r="H100" s="30">
        <v>593.63</v>
      </c>
      <c r="I100" s="30" t="s">
        <v>104</v>
      </c>
      <c r="J100" s="30">
        <v>13.0</v>
      </c>
      <c r="K100" s="30">
        <v>41.1</v>
      </c>
      <c r="L100" s="30">
        <v>19.7</v>
      </c>
      <c r="M100" s="30">
        <v>81.31</v>
      </c>
      <c r="N100" s="30">
        <v>6.0</v>
      </c>
      <c r="O100" s="30" t="s">
        <v>137</v>
      </c>
      <c r="P100" s="30">
        <v>0.4</v>
      </c>
      <c r="Q100" s="30" t="s">
        <v>136</v>
      </c>
    </row>
    <row r="101" ht="15.75" customHeight="1">
      <c r="A101" s="30">
        <v>2.8625163E7</v>
      </c>
      <c r="B101" s="30">
        <v>300.0</v>
      </c>
      <c r="C101" s="30">
        <v>100.0</v>
      </c>
      <c r="D101" s="30">
        <v>75.0</v>
      </c>
      <c r="E101" s="30">
        <v>475.0</v>
      </c>
      <c r="F101" s="30" t="s">
        <v>110</v>
      </c>
      <c r="G101" s="30">
        <v>735.09</v>
      </c>
      <c r="H101" s="30">
        <v>631.05</v>
      </c>
      <c r="I101" s="30" t="s">
        <v>102</v>
      </c>
      <c r="J101" s="30">
        <v>41.0</v>
      </c>
      <c r="K101" s="30">
        <v>19.2</v>
      </c>
      <c r="L101" s="30">
        <v>26.7</v>
      </c>
      <c r="M101" s="30">
        <v>84.45</v>
      </c>
      <c r="N101" s="30">
        <v>9.0</v>
      </c>
      <c r="O101" s="30" t="s">
        <v>137</v>
      </c>
      <c r="P101" s="30">
        <v>0.4</v>
      </c>
      <c r="Q101" s="30" t="s">
        <v>136</v>
      </c>
    </row>
    <row r="102" ht="15.75" customHeight="1">
      <c r="A102" s="30">
        <v>9.1742575E7</v>
      </c>
      <c r="B102" s="30">
        <v>200.0</v>
      </c>
      <c r="C102" s="30">
        <v>150.0</v>
      </c>
      <c r="D102" s="30">
        <v>75.0</v>
      </c>
      <c r="E102" s="30">
        <v>425.0</v>
      </c>
      <c r="F102" s="30" t="s">
        <v>110</v>
      </c>
      <c r="G102" s="30">
        <v>674.62</v>
      </c>
      <c r="H102" s="30">
        <v>574.77</v>
      </c>
      <c r="I102" s="30" t="s">
        <v>104</v>
      </c>
      <c r="J102" s="30">
        <v>46.0</v>
      </c>
      <c r="K102" s="30">
        <v>32.3</v>
      </c>
      <c r="L102" s="30">
        <v>15.5</v>
      </c>
      <c r="M102" s="30">
        <v>69.4</v>
      </c>
      <c r="N102" s="30">
        <v>6.0</v>
      </c>
      <c r="O102" s="30" t="s">
        <v>137</v>
      </c>
      <c r="P102" s="30">
        <v>0.4</v>
      </c>
      <c r="Q102" s="30" t="s">
        <v>136</v>
      </c>
    </row>
    <row r="103" ht="15.75" customHeight="1">
      <c r="A103" s="30">
        <v>4.5824569E7</v>
      </c>
      <c r="B103" s="30">
        <v>200.0</v>
      </c>
      <c r="C103" s="30">
        <v>50.0</v>
      </c>
      <c r="D103" s="30">
        <v>75.0</v>
      </c>
      <c r="E103" s="30">
        <v>325.0</v>
      </c>
      <c r="F103" s="30" t="s">
        <v>112</v>
      </c>
      <c r="G103" s="30">
        <v>626.31</v>
      </c>
      <c r="H103" s="30">
        <v>505.78</v>
      </c>
      <c r="I103" s="30" t="s">
        <v>106</v>
      </c>
      <c r="J103" s="30">
        <v>30.0</v>
      </c>
      <c r="K103" s="30">
        <v>37.0</v>
      </c>
      <c r="L103" s="30">
        <v>15.0</v>
      </c>
      <c r="M103" s="30">
        <v>72.16</v>
      </c>
      <c r="N103" s="30">
        <v>6.0</v>
      </c>
      <c r="O103" s="30" t="s">
        <v>137</v>
      </c>
      <c r="P103" s="30">
        <v>0.4</v>
      </c>
      <c r="Q103" s="30" t="s">
        <v>136</v>
      </c>
    </row>
    <row r="104" ht="15.75" customHeight="1">
      <c r="A104" s="30">
        <v>6.7562163E7</v>
      </c>
      <c r="B104" s="30">
        <v>300.0</v>
      </c>
      <c r="C104" s="30">
        <v>100.0</v>
      </c>
      <c r="D104" s="30">
        <v>75.0</v>
      </c>
      <c r="E104" s="30">
        <v>475.0</v>
      </c>
      <c r="F104" s="30" t="s">
        <v>110</v>
      </c>
      <c r="G104" s="30">
        <v>690.47</v>
      </c>
      <c r="H104" s="30">
        <v>582.74</v>
      </c>
      <c r="I104" s="30" t="s">
        <v>104</v>
      </c>
      <c r="J104" s="30">
        <v>25.0</v>
      </c>
      <c r="K104" s="30">
        <v>25.6</v>
      </c>
      <c r="L104" s="30">
        <v>29.2</v>
      </c>
      <c r="M104" s="30">
        <v>56.45</v>
      </c>
      <c r="N104" s="30">
        <v>6.0</v>
      </c>
      <c r="O104" s="30" t="s">
        <v>134</v>
      </c>
      <c r="P104" s="30">
        <v>0.5</v>
      </c>
      <c r="Q104" s="30" t="s">
        <v>136</v>
      </c>
    </row>
    <row r="105" ht="15.75" customHeight="1">
      <c r="A105" s="30">
        <v>8.3314118E7</v>
      </c>
      <c r="B105" s="30">
        <v>300.0</v>
      </c>
      <c r="C105" s="30">
        <v>100.0</v>
      </c>
      <c r="D105" s="30">
        <v>125.0</v>
      </c>
      <c r="E105" s="30">
        <v>525.0</v>
      </c>
      <c r="F105" s="30" t="s">
        <v>106</v>
      </c>
      <c r="G105" s="30">
        <v>699.55</v>
      </c>
      <c r="H105" s="30">
        <v>629.73</v>
      </c>
      <c r="I105" s="30" t="s">
        <v>102</v>
      </c>
      <c r="J105" s="30">
        <v>9.0</v>
      </c>
      <c r="K105" s="30">
        <v>36.6</v>
      </c>
      <c r="L105" s="30">
        <v>22.2</v>
      </c>
      <c r="M105" s="30">
        <v>83.23</v>
      </c>
      <c r="N105" s="30">
        <v>12.0</v>
      </c>
      <c r="O105" s="30" t="s">
        <v>137</v>
      </c>
      <c r="P105" s="30">
        <v>0.4</v>
      </c>
      <c r="Q105" s="30" t="s">
        <v>136</v>
      </c>
    </row>
    <row r="106" ht="15.75" customHeight="1">
      <c r="A106" s="30">
        <v>5.6057925E7</v>
      </c>
      <c r="B106" s="30">
        <v>300.0</v>
      </c>
      <c r="C106" s="30">
        <v>50.0</v>
      </c>
      <c r="D106" s="30">
        <v>125.0</v>
      </c>
      <c r="E106" s="30">
        <v>475.0</v>
      </c>
      <c r="F106" s="30" t="s">
        <v>110</v>
      </c>
      <c r="G106" s="30">
        <v>689.53</v>
      </c>
      <c r="H106" s="30">
        <v>582.26</v>
      </c>
      <c r="I106" s="30" t="s">
        <v>104</v>
      </c>
      <c r="J106" s="30">
        <v>30.0</v>
      </c>
      <c r="K106" s="30">
        <v>19.9</v>
      </c>
      <c r="L106" s="30">
        <v>26.8</v>
      </c>
      <c r="M106" s="30">
        <v>79.62</v>
      </c>
      <c r="N106" s="30">
        <v>12.0</v>
      </c>
      <c r="O106" s="30" t="s">
        <v>134</v>
      </c>
      <c r="P106" s="30">
        <v>0.5</v>
      </c>
      <c r="Q106" s="30" t="s">
        <v>136</v>
      </c>
    </row>
    <row r="107" ht="15.75" customHeight="1">
      <c r="A107" s="30">
        <v>2.0513236E7</v>
      </c>
      <c r="B107" s="30">
        <v>300.0</v>
      </c>
      <c r="C107" s="30">
        <v>100.0</v>
      </c>
      <c r="D107" s="30">
        <v>75.0</v>
      </c>
      <c r="E107" s="30">
        <v>475.0</v>
      </c>
      <c r="F107" s="30" t="s">
        <v>110</v>
      </c>
      <c r="G107" s="30">
        <v>636.96</v>
      </c>
      <c r="H107" s="30">
        <v>572.18</v>
      </c>
      <c r="I107" s="30" t="s">
        <v>104</v>
      </c>
      <c r="J107" s="30">
        <v>41.0</v>
      </c>
      <c r="K107" s="30">
        <v>27.4</v>
      </c>
      <c r="L107" s="30">
        <v>24.1</v>
      </c>
      <c r="M107" s="30">
        <v>70.94</v>
      </c>
      <c r="N107" s="30">
        <v>6.0</v>
      </c>
      <c r="O107" s="30" t="s">
        <v>137</v>
      </c>
      <c r="P107" s="30">
        <v>0.4</v>
      </c>
      <c r="Q107" s="30" t="s">
        <v>136</v>
      </c>
    </row>
    <row r="108" ht="15.75" customHeight="1">
      <c r="A108" s="30">
        <v>6.3898475E7</v>
      </c>
      <c r="B108" s="30">
        <v>200.0</v>
      </c>
      <c r="C108" s="30">
        <v>150.0</v>
      </c>
      <c r="D108" s="30">
        <v>75.0</v>
      </c>
      <c r="E108" s="30">
        <v>425.0</v>
      </c>
      <c r="F108" s="30" t="s">
        <v>110</v>
      </c>
      <c r="G108" s="30">
        <v>620.52</v>
      </c>
      <c r="H108" s="30">
        <v>542.31</v>
      </c>
      <c r="I108" s="30" t="s">
        <v>106</v>
      </c>
      <c r="J108" s="30">
        <v>16.0</v>
      </c>
      <c r="K108" s="30">
        <v>18.1</v>
      </c>
      <c r="L108" s="30">
        <v>16.3</v>
      </c>
      <c r="M108" s="30">
        <v>78.26</v>
      </c>
      <c r="N108" s="30">
        <v>6.0</v>
      </c>
      <c r="O108" s="30" t="s">
        <v>137</v>
      </c>
      <c r="P108" s="30">
        <v>0.4</v>
      </c>
      <c r="Q108" s="30" t="s">
        <v>136</v>
      </c>
    </row>
    <row r="109" ht="15.75" customHeight="1">
      <c r="A109" s="30">
        <v>3.7225723E7</v>
      </c>
      <c r="B109" s="30">
        <v>300.0</v>
      </c>
      <c r="C109" s="30">
        <v>150.0</v>
      </c>
      <c r="D109" s="30">
        <v>125.0</v>
      </c>
      <c r="E109" s="30">
        <v>575.0</v>
      </c>
      <c r="F109" s="30" t="s">
        <v>104</v>
      </c>
      <c r="G109" s="30">
        <v>747.09</v>
      </c>
      <c r="H109" s="30">
        <v>678.25</v>
      </c>
      <c r="I109" s="30" t="s">
        <v>100</v>
      </c>
      <c r="J109" s="30">
        <v>16.0</v>
      </c>
      <c r="K109" s="30">
        <v>39.2</v>
      </c>
      <c r="L109" s="30">
        <v>23.2</v>
      </c>
      <c r="M109" s="30">
        <v>74.23</v>
      </c>
      <c r="N109" s="30">
        <v>9.0</v>
      </c>
      <c r="O109" s="30" t="s">
        <v>137</v>
      </c>
      <c r="P109" s="30">
        <v>0.4</v>
      </c>
      <c r="Q109" s="30" t="s">
        <v>136</v>
      </c>
    </row>
    <row r="110" ht="15.75" customHeight="1">
      <c r="A110" s="30">
        <v>2.1604561E7</v>
      </c>
      <c r="B110" s="30">
        <v>200.0</v>
      </c>
      <c r="C110" s="30">
        <v>150.0</v>
      </c>
      <c r="D110" s="30">
        <v>125.0</v>
      </c>
      <c r="E110" s="30">
        <v>475.0</v>
      </c>
      <c r="F110" s="30" t="s">
        <v>110</v>
      </c>
      <c r="G110" s="30">
        <v>683.37</v>
      </c>
      <c r="H110" s="30">
        <v>600.02</v>
      </c>
      <c r="I110" s="30" t="s">
        <v>102</v>
      </c>
      <c r="J110" s="30">
        <v>11.0</v>
      </c>
      <c r="K110" s="30">
        <v>16.2</v>
      </c>
      <c r="L110" s="30">
        <v>24.1</v>
      </c>
      <c r="M110" s="30">
        <v>82.38</v>
      </c>
      <c r="N110" s="30">
        <v>12.0</v>
      </c>
      <c r="O110" s="30" t="s">
        <v>137</v>
      </c>
      <c r="P110" s="30">
        <v>0.4</v>
      </c>
      <c r="Q110" s="30" t="s">
        <v>136</v>
      </c>
    </row>
    <row r="111" ht="15.75" customHeight="1">
      <c r="A111" s="30">
        <v>1.9960199E7</v>
      </c>
      <c r="B111" s="30">
        <v>200.0</v>
      </c>
      <c r="C111" s="30">
        <v>100.0</v>
      </c>
      <c r="D111" s="30">
        <v>75.0</v>
      </c>
      <c r="E111" s="30">
        <v>375.0</v>
      </c>
      <c r="F111" s="30" t="s">
        <v>112</v>
      </c>
      <c r="G111" s="30">
        <v>711.76</v>
      </c>
      <c r="H111" s="30">
        <v>543.38</v>
      </c>
      <c r="I111" s="30" t="s">
        <v>106</v>
      </c>
      <c r="J111" s="30">
        <v>39.0</v>
      </c>
      <c r="K111" s="30">
        <v>42.7</v>
      </c>
      <c r="L111" s="30">
        <v>29.4</v>
      </c>
      <c r="M111" s="30">
        <v>83.05</v>
      </c>
      <c r="N111" s="30">
        <v>9.0</v>
      </c>
      <c r="O111" s="30" t="s">
        <v>134</v>
      </c>
      <c r="P111" s="30">
        <v>0.5</v>
      </c>
      <c r="Q111" s="30" t="s">
        <v>136</v>
      </c>
    </row>
    <row r="112" ht="15.75" customHeight="1">
      <c r="A112" s="30">
        <v>6.5312501E7</v>
      </c>
      <c r="B112" s="30">
        <v>200.0</v>
      </c>
      <c r="C112" s="30">
        <v>150.0</v>
      </c>
      <c r="D112" s="30">
        <v>75.0</v>
      </c>
      <c r="E112" s="30">
        <v>425.0</v>
      </c>
      <c r="F112" s="30" t="s">
        <v>110</v>
      </c>
      <c r="G112" s="30">
        <v>732.75</v>
      </c>
      <c r="H112" s="30">
        <v>609.65</v>
      </c>
      <c r="I112" s="30" t="s">
        <v>102</v>
      </c>
      <c r="J112" s="30">
        <v>30.0</v>
      </c>
      <c r="K112" s="30">
        <v>32.9</v>
      </c>
      <c r="L112" s="30">
        <v>14.6</v>
      </c>
      <c r="M112" s="30">
        <v>54.22</v>
      </c>
      <c r="N112" s="30">
        <v>9.0</v>
      </c>
      <c r="O112" s="30" t="s">
        <v>137</v>
      </c>
      <c r="P112" s="30">
        <v>0.4</v>
      </c>
      <c r="Q112" s="30" t="s">
        <v>136</v>
      </c>
    </row>
    <row r="113" ht="15.75" customHeight="1">
      <c r="A113" s="30">
        <v>7.7597936E7</v>
      </c>
      <c r="B113" s="30">
        <v>300.0</v>
      </c>
      <c r="C113" s="30">
        <v>50.0</v>
      </c>
      <c r="D113" s="30">
        <v>75.0</v>
      </c>
      <c r="E113" s="30">
        <v>425.0</v>
      </c>
      <c r="F113" s="30" t="s">
        <v>110</v>
      </c>
      <c r="G113" s="30">
        <v>678.03</v>
      </c>
      <c r="H113" s="30">
        <v>576.82</v>
      </c>
      <c r="I113" s="30" t="s">
        <v>104</v>
      </c>
      <c r="J113" s="30">
        <v>48.0</v>
      </c>
      <c r="K113" s="30">
        <v>31.2</v>
      </c>
      <c r="L113" s="30">
        <v>25.8</v>
      </c>
      <c r="M113" s="30">
        <v>61.16</v>
      </c>
      <c r="N113" s="30">
        <v>9.0</v>
      </c>
      <c r="O113" s="30" t="s">
        <v>137</v>
      </c>
      <c r="P113" s="30">
        <v>0.4</v>
      </c>
      <c r="Q113" s="30" t="s">
        <v>136</v>
      </c>
    </row>
    <row r="114" ht="15.75" customHeight="1">
      <c r="A114" s="30">
        <v>5.7704628E7</v>
      </c>
      <c r="B114" s="30">
        <v>200.0</v>
      </c>
      <c r="C114" s="30">
        <v>50.0</v>
      </c>
      <c r="D114" s="30">
        <v>125.0</v>
      </c>
      <c r="E114" s="30">
        <v>375.0</v>
      </c>
      <c r="F114" s="30" t="s">
        <v>112</v>
      </c>
      <c r="G114" s="30">
        <v>610.5</v>
      </c>
      <c r="H114" s="30">
        <v>492.75</v>
      </c>
      <c r="I114" s="30" t="s">
        <v>110</v>
      </c>
      <c r="J114" s="30">
        <v>33.0</v>
      </c>
      <c r="K114" s="30">
        <v>15.6</v>
      </c>
      <c r="L114" s="30">
        <v>27.5</v>
      </c>
      <c r="M114" s="30">
        <v>68.51</v>
      </c>
      <c r="N114" s="30">
        <v>12.0</v>
      </c>
      <c r="O114" s="30" t="s">
        <v>134</v>
      </c>
      <c r="P114" s="30">
        <v>0.5</v>
      </c>
      <c r="Q114" s="30" t="s">
        <v>136</v>
      </c>
    </row>
    <row r="115" ht="15.75" customHeight="1">
      <c r="A115" s="30">
        <v>9.0913935E7</v>
      </c>
      <c r="B115" s="30">
        <v>300.0</v>
      </c>
      <c r="C115" s="30">
        <v>100.0</v>
      </c>
      <c r="D115" s="30">
        <v>75.0</v>
      </c>
      <c r="E115" s="30">
        <v>475.0</v>
      </c>
      <c r="F115" s="30" t="s">
        <v>110</v>
      </c>
      <c r="G115" s="30">
        <v>613.75</v>
      </c>
      <c r="H115" s="30">
        <v>544.38</v>
      </c>
      <c r="I115" s="30" t="s">
        <v>106</v>
      </c>
      <c r="J115" s="30">
        <v>24.0</v>
      </c>
      <c r="K115" s="30">
        <v>33.8</v>
      </c>
      <c r="L115" s="30">
        <v>27.5</v>
      </c>
      <c r="M115" s="30">
        <v>84.44</v>
      </c>
      <c r="N115" s="30">
        <v>9.0</v>
      </c>
      <c r="O115" s="30" t="s">
        <v>134</v>
      </c>
      <c r="P115" s="30">
        <v>0.5</v>
      </c>
      <c r="Q115" s="30" t="s">
        <v>136</v>
      </c>
    </row>
    <row r="116" ht="15.75" customHeight="1">
      <c r="A116" s="30">
        <v>4.5409624E7</v>
      </c>
      <c r="B116" s="30">
        <v>300.0</v>
      </c>
      <c r="C116" s="30">
        <v>50.0</v>
      </c>
      <c r="D116" s="30">
        <v>75.0</v>
      </c>
      <c r="E116" s="30">
        <v>425.0</v>
      </c>
      <c r="F116" s="30" t="s">
        <v>110</v>
      </c>
      <c r="G116" s="30">
        <v>688.37</v>
      </c>
      <c r="H116" s="30">
        <v>556.68</v>
      </c>
      <c r="I116" s="30" t="s">
        <v>104</v>
      </c>
      <c r="J116" s="30">
        <v>19.0</v>
      </c>
      <c r="K116" s="30">
        <v>25.6</v>
      </c>
      <c r="L116" s="30">
        <v>15.7</v>
      </c>
      <c r="M116" s="30">
        <v>60.37</v>
      </c>
      <c r="N116" s="30">
        <v>9.0</v>
      </c>
      <c r="O116" s="30" t="s">
        <v>134</v>
      </c>
      <c r="P116" s="30">
        <v>0.5</v>
      </c>
      <c r="Q116" s="30" t="s">
        <v>136</v>
      </c>
    </row>
    <row r="117" ht="15.75" customHeight="1">
      <c r="A117" s="30">
        <v>9.4371503E7</v>
      </c>
      <c r="B117" s="30">
        <v>300.0</v>
      </c>
      <c r="C117" s="30">
        <v>100.0</v>
      </c>
      <c r="D117" s="30">
        <v>125.0</v>
      </c>
      <c r="E117" s="30">
        <v>525.0</v>
      </c>
      <c r="F117" s="30" t="s">
        <v>106</v>
      </c>
      <c r="G117" s="30">
        <v>688.28</v>
      </c>
      <c r="H117" s="30">
        <v>622.97</v>
      </c>
      <c r="I117" s="30" t="s">
        <v>102</v>
      </c>
      <c r="J117" s="30">
        <v>28.0</v>
      </c>
      <c r="K117" s="30">
        <v>21.5</v>
      </c>
      <c r="L117" s="30">
        <v>29.0</v>
      </c>
      <c r="M117" s="30">
        <v>77.52</v>
      </c>
      <c r="N117" s="30">
        <v>12.0</v>
      </c>
      <c r="O117" s="30" t="s">
        <v>137</v>
      </c>
      <c r="P117" s="30">
        <v>0.4</v>
      </c>
      <c r="Q117" s="30" t="s">
        <v>136</v>
      </c>
    </row>
    <row r="118" ht="15.75" customHeight="1">
      <c r="A118" s="30">
        <v>2.600899E7</v>
      </c>
      <c r="B118" s="30">
        <v>300.0</v>
      </c>
      <c r="C118" s="30">
        <v>100.0</v>
      </c>
      <c r="D118" s="30">
        <v>75.0</v>
      </c>
      <c r="E118" s="30">
        <v>475.0</v>
      </c>
      <c r="F118" s="30" t="s">
        <v>110</v>
      </c>
      <c r="G118" s="30">
        <v>634.59</v>
      </c>
      <c r="H118" s="30">
        <v>570.75</v>
      </c>
      <c r="I118" s="30" t="s">
        <v>104</v>
      </c>
      <c r="J118" s="30">
        <v>14.0</v>
      </c>
      <c r="K118" s="30">
        <v>44.7</v>
      </c>
      <c r="L118" s="30">
        <v>14.6</v>
      </c>
      <c r="M118" s="30">
        <v>83.0</v>
      </c>
      <c r="N118" s="30">
        <v>12.0</v>
      </c>
      <c r="O118" s="30" t="s">
        <v>137</v>
      </c>
      <c r="P118" s="30">
        <v>0.4</v>
      </c>
      <c r="Q118" s="30" t="s">
        <v>136</v>
      </c>
    </row>
    <row r="119" ht="15.75" customHeight="1">
      <c r="A119" s="30">
        <v>3.7254433E7</v>
      </c>
      <c r="B119" s="30">
        <v>200.0</v>
      </c>
      <c r="C119" s="30">
        <v>100.0</v>
      </c>
      <c r="D119" s="30">
        <v>75.0</v>
      </c>
      <c r="E119" s="30">
        <v>375.0</v>
      </c>
      <c r="F119" s="30" t="s">
        <v>112</v>
      </c>
      <c r="G119" s="30">
        <v>745.37</v>
      </c>
      <c r="H119" s="30">
        <v>597.22</v>
      </c>
      <c r="I119" s="30" t="s">
        <v>104</v>
      </c>
      <c r="J119" s="30">
        <v>39.0</v>
      </c>
      <c r="K119" s="30">
        <v>43.7</v>
      </c>
      <c r="L119" s="30">
        <v>26.5</v>
      </c>
      <c r="M119" s="30">
        <v>78.03</v>
      </c>
      <c r="N119" s="30">
        <v>9.0</v>
      </c>
      <c r="O119" s="30" t="s">
        <v>137</v>
      </c>
      <c r="P119" s="30">
        <v>0.4</v>
      </c>
      <c r="Q119" s="30" t="s">
        <v>136</v>
      </c>
    </row>
    <row r="120" ht="15.75" customHeight="1">
      <c r="A120" s="30">
        <v>7.5136384E7</v>
      </c>
      <c r="B120" s="30">
        <v>300.0</v>
      </c>
      <c r="C120" s="30">
        <v>100.0</v>
      </c>
      <c r="D120" s="30">
        <v>75.0</v>
      </c>
      <c r="E120" s="30">
        <v>475.0</v>
      </c>
      <c r="F120" s="30" t="s">
        <v>110</v>
      </c>
      <c r="G120" s="30">
        <v>722.37</v>
      </c>
      <c r="H120" s="30">
        <v>598.69</v>
      </c>
      <c r="I120" s="30" t="s">
        <v>104</v>
      </c>
      <c r="J120" s="30">
        <v>29.0</v>
      </c>
      <c r="K120" s="30">
        <v>30.5</v>
      </c>
      <c r="L120" s="30">
        <v>19.8</v>
      </c>
      <c r="M120" s="30">
        <v>84.87</v>
      </c>
      <c r="N120" s="30">
        <v>12.0</v>
      </c>
      <c r="O120" s="30" t="s">
        <v>134</v>
      </c>
      <c r="P120" s="30">
        <v>0.5</v>
      </c>
      <c r="Q120" s="30" t="s">
        <v>136</v>
      </c>
    </row>
    <row r="121" ht="15.75" customHeight="1">
      <c r="A121" s="30">
        <v>8.9061881E7</v>
      </c>
      <c r="B121" s="30">
        <v>300.0</v>
      </c>
      <c r="C121" s="30">
        <v>100.0</v>
      </c>
      <c r="D121" s="30">
        <v>75.0</v>
      </c>
      <c r="E121" s="30">
        <v>475.0</v>
      </c>
      <c r="F121" s="30" t="s">
        <v>110</v>
      </c>
      <c r="G121" s="30">
        <v>606.66</v>
      </c>
      <c r="H121" s="30">
        <v>553.99</v>
      </c>
      <c r="I121" s="30" t="s">
        <v>104</v>
      </c>
      <c r="J121" s="30">
        <v>46.0</v>
      </c>
      <c r="K121" s="30">
        <v>41.3</v>
      </c>
      <c r="L121" s="30">
        <v>15.3</v>
      </c>
      <c r="M121" s="30">
        <v>54.53</v>
      </c>
      <c r="N121" s="30">
        <v>6.0</v>
      </c>
      <c r="O121" s="30" t="s">
        <v>137</v>
      </c>
      <c r="P121" s="30">
        <v>0.4</v>
      </c>
      <c r="Q121" s="30" t="s">
        <v>136</v>
      </c>
    </row>
    <row r="122" ht="15.75" customHeight="1">
      <c r="A122" s="30">
        <v>6.4580314E7</v>
      </c>
      <c r="B122" s="30">
        <v>300.0</v>
      </c>
      <c r="C122" s="30">
        <v>100.0</v>
      </c>
      <c r="D122" s="30">
        <v>125.0</v>
      </c>
      <c r="E122" s="30">
        <v>525.0</v>
      </c>
      <c r="F122" s="30" t="s">
        <v>106</v>
      </c>
      <c r="G122" s="30">
        <v>708.51</v>
      </c>
      <c r="H122" s="30">
        <v>635.11</v>
      </c>
      <c r="I122" s="30" t="s">
        <v>102</v>
      </c>
      <c r="J122" s="30">
        <v>10.0</v>
      </c>
      <c r="K122" s="30">
        <v>17.6</v>
      </c>
      <c r="L122" s="30">
        <v>18.2</v>
      </c>
      <c r="M122" s="30">
        <v>63.04</v>
      </c>
      <c r="N122" s="30">
        <v>12.0</v>
      </c>
      <c r="O122" s="30" t="s">
        <v>137</v>
      </c>
      <c r="P122" s="30">
        <v>0.4</v>
      </c>
      <c r="Q122" s="30" t="s">
        <v>136</v>
      </c>
    </row>
    <row r="123" ht="15.75" customHeight="1">
      <c r="A123" s="30">
        <v>5.8355414E7</v>
      </c>
      <c r="B123" s="30">
        <v>300.0</v>
      </c>
      <c r="C123" s="30">
        <v>50.0</v>
      </c>
      <c r="D123" s="30">
        <v>125.0</v>
      </c>
      <c r="E123" s="30">
        <v>475.0</v>
      </c>
      <c r="F123" s="30" t="s">
        <v>110</v>
      </c>
      <c r="G123" s="30">
        <v>688.86</v>
      </c>
      <c r="H123" s="30">
        <v>603.32</v>
      </c>
      <c r="I123" s="30" t="s">
        <v>102</v>
      </c>
      <c r="J123" s="30">
        <v>44.0</v>
      </c>
      <c r="K123" s="30">
        <v>44.7</v>
      </c>
      <c r="L123" s="30">
        <v>11.2</v>
      </c>
      <c r="M123" s="30">
        <v>80.9</v>
      </c>
      <c r="N123" s="30">
        <v>9.0</v>
      </c>
      <c r="O123" s="30" t="s">
        <v>137</v>
      </c>
      <c r="P123" s="30">
        <v>0.4</v>
      </c>
      <c r="Q123" s="30" t="s">
        <v>136</v>
      </c>
    </row>
    <row r="124" ht="15.75" customHeight="1">
      <c r="A124" s="30">
        <v>6.6316631E7</v>
      </c>
      <c r="B124" s="30">
        <v>300.0</v>
      </c>
      <c r="C124" s="30">
        <v>100.0</v>
      </c>
      <c r="D124" s="30">
        <v>75.0</v>
      </c>
      <c r="E124" s="30">
        <v>475.0</v>
      </c>
      <c r="F124" s="30" t="s">
        <v>110</v>
      </c>
      <c r="G124" s="30">
        <v>623.6</v>
      </c>
      <c r="H124" s="30">
        <v>549.3</v>
      </c>
      <c r="I124" s="30" t="s">
        <v>106</v>
      </c>
      <c r="J124" s="30">
        <v>17.0</v>
      </c>
      <c r="K124" s="30">
        <v>41.4</v>
      </c>
      <c r="L124" s="30">
        <v>25.9</v>
      </c>
      <c r="M124" s="30">
        <v>73.05</v>
      </c>
      <c r="N124" s="30">
        <v>6.0</v>
      </c>
      <c r="O124" s="30" t="s">
        <v>134</v>
      </c>
      <c r="P124" s="30">
        <v>0.5</v>
      </c>
      <c r="Q124" s="30" t="s">
        <v>136</v>
      </c>
    </row>
    <row r="125" ht="15.75" customHeight="1">
      <c r="A125" s="30">
        <v>6.4558874E7</v>
      </c>
      <c r="B125" s="30">
        <v>300.0</v>
      </c>
      <c r="C125" s="30">
        <v>100.0</v>
      </c>
      <c r="D125" s="30">
        <v>125.0</v>
      </c>
      <c r="E125" s="30">
        <v>525.0</v>
      </c>
      <c r="F125" s="30" t="s">
        <v>106</v>
      </c>
      <c r="G125" s="30">
        <v>744.2</v>
      </c>
      <c r="H125" s="30">
        <v>656.52</v>
      </c>
      <c r="I125" s="30" t="s">
        <v>100</v>
      </c>
      <c r="J125" s="30">
        <v>35.0</v>
      </c>
      <c r="K125" s="30">
        <v>33.6</v>
      </c>
      <c r="L125" s="30">
        <v>25.1</v>
      </c>
      <c r="M125" s="30">
        <v>55.55</v>
      </c>
      <c r="N125" s="30">
        <v>12.0</v>
      </c>
      <c r="O125" s="30" t="s">
        <v>137</v>
      </c>
      <c r="P125" s="30">
        <v>0.4</v>
      </c>
      <c r="Q125" s="30" t="s">
        <v>136</v>
      </c>
    </row>
    <row r="126" ht="15.75" customHeight="1">
      <c r="A126" s="30">
        <v>2.1987595E7</v>
      </c>
      <c r="B126" s="30">
        <v>300.0</v>
      </c>
      <c r="C126" s="30">
        <v>50.0</v>
      </c>
      <c r="D126" s="30">
        <v>75.0</v>
      </c>
      <c r="E126" s="30">
        <v>425.0</v>
      </c>
      <c r="F126" s="30" t="s">
        <v>110</v>
      </c>
      <c r="G126" s="30">
        <v>713.5</v>
      </c>
      <c r="H126" s="30">
        <v>569.25</v>
      </c>
      <c r="I126" s="30" t="s">
        <v>104</v>
      </c>
      <c r="J126" s="30">
        <v>6.0</v>
      </c>
      <c r="K126" s="30">
        <v>37.3</v>
      </c>
      <c r="L126" s="30">
        <v>13.2</v>
      </c>
      <c r="M126" s="30">
        <v>78.63</v>
      </c>
      <c r="N126" s="30">
        <v>9.0</v>
      </c>
      <c r="O126" s="30" t="s">
        <v>134</v>
      </c>
      <c r="P126" s="30">
        <v>0.5</v>
      </c>
      <c r="Q126" s="30" t="s">
        <v>136</v>
      </c>
    </row>
    <row r="127" ht="15.75" customHeight="1">
      <c r="A127" s="30">
        <v>4.058324E7</v>
      </c>
      <c r="B127" s="30">
        <v>200.0</v>
      </c>
      <c r="C127" s="30">
        <v>100.0</v>
      </c>
      <c r="D127" s="30">
        <v>125.0</v>
      </c>
      <c r="E127" s="30">
        <v>425.0</v>
      </c>
      <c r="F127" s="30" t="s">
        <v>110</v>
      </c>
      <c r="G127" s="30">
        <v>716.98</v>
      </c>
      <c r="H127" s="30">
        <v>570.99</v>
      </c>
      <c r="I127" s="30" t="s">
        <v>104</v>
      </c>
      <c r="J127" s="30">
        <v>34.0</v>
      </c>
      <c r="K127" s="30">
        <v>34.0</v>
      </c>
      <c r="L127" s="30">
        <v>15.2</v>
      </c>
      <c r="M127" s="30">
        <v>72.19</v>
      </c>
      <c r="N127" s="30">
        <v>6.0</v>
      </c>
      <c r="O127" s="30" t="s">
        <v>134</v>
      </c>
      <c r="P127" s="30">
        <v>0.5</v>
      </c>
      <c r="Q127" s="30" t="s">
        <v>136</v>
      </c>
    </row>
    <row r="128" ht="15.75" customHeight="1">
      <c r="A128" s="30">
        <v>3.8884911E7</v>
      </c>
      <c r="B128" s="30">
        <v>200.0</v>
      </c>
      <c r="C128" s="30">
        <v>100.0</v>
      </c>
      <c r="D128" s="30">
        <v>125.0</v>
      </c>
      <c r="E128" s="30">
        <v>425.0</v>
      </c>
      <c r="F128" s="30" t="s">
        <v>110</v>
      </c>
      <c r="G128" s="30">
        <v>740.58</v>
      </c>
      <c r="H128" s="30">
        <v>614.35</v>
      </c>
      <c r="I128" s="30" t="s">
        <v>102</v>
      </c>
      <c r="J128" s="30">
        <v>8.0</v>
      </c>
      <c r="K128" s="30">
        <v>26.8</v>
      </c>
      <c r="L128" s="30">
        <v>13.6</v>
      </c>
      <c r="M128" s="30">
        <v>76.38</v>
      </c>
      <c r="N128" s="30">
        <v>9.0</v>
      </c>
      <c r="O128" s="30" t="s">
        <v>137</v>
      </c>
      <c r="P128" s="30">
        <v>0.4</v>
      </c>
      <c r="Q128" s="30" t="s">
        <v>136</v>
      </c>
    </row>
    <row r="129" ht="15.75" customHeight="1">
      <c r="A129" s="30">
        <v>3.5427221E7</v>
      </c>
      <c r="B129" s="30">
        <v>200.0</v>
      </c>
      <c r="C129" s="30">
        <v>100.0</v>
      </c>
      <c r="D129" s="30">
        <v>75.0</v>
      </c>
      <c r="E129" s="30">
        <v>375.0</v>
      </c>
      <c r="F129" s="30" t="s">
        <v>112</v>
      </c>
      <c r="G129" s="30">
        <v>727.86</v>
      </c>
      <c r="H129" s="30">
        <v>586.72</v>
      </c>
      <c r="I129" s="30" t="s">
        <v>104</v>
      </c>
      <c r="J129" s="30">
        <v>33.0</v>
      </c>
      <c r="K129" s="30">
        <v>32.5</v>
      </c>
      <c r="L129" s="30">
        <v>16.9</v>
      </c>
      <c r="M129" s="30">
        <v>71.73</v>
      </c>
      <c r="N129" s="30">
        <v>12.0</v>
      </c>
      <c r="O129" s="30" t="s">
        <v>137</v>
      </c>
      <c r="P129" s="30">
        <v>0.4</v>
      </c>
      <c r="Q129" s="30" t="s">
        <v>136</v>
      </c>
    </row>
    <row r="130" ht="15.75" customHeight="1">
      <c r="A130" s="30">
        <v>1.8369502E7</v>
      </c>
      <c r="B130" s="30">
        <v>300.0</v>
      </c>
      <c r="C130" s="30">
        <v>100.0</v>
      </c>
      <c r="D130" s="30">
        <v>125.0</v>
      </c>
      <c r="E130" s="30">
        <v>525.0</v>
      </c>
      <c r="F130" s="30" t="s">
        <v>106</v>
      </c>
      <c r="G130" s="30">
        <v>673.3</v>
      </c>
      <c r="H130" s="30">
        <v>613.98</v>
      </c>
      <c r="I130" s="30" t="s">
        <v>102</v>
      </c>
      <c r="J130" s="30">
        <v>27.0</v>
      </c>
      <c r="K130" s="30">
        <v>26.5</v>
      </c>
      <c r="L130" s="30">
        <v>11.3</v>
      </c>
      <c r="M130" s="30">
        <v>78.75</v>
      </c>
      <c r="N130" s="30">
        <v>12.0</v>
      </c>
      <c r="O130" s="30" t="s">
        <v>137</v>
      </c>
      <c r="P130" s="30">
        <v>0.4</v>
      </c>
      <c r="Q130" s="30" t="s">
        <v>136</v>
      </c>
    </row>
    <row r="131" ht="15.75" customHeight="1">
      <c r="A131" s="30">
        <v>9.188985E7</v>
      </c>
      <c r="B131" s="30">
        <v>300.0</v>
      </c>
      <c r="C131" s="30">
        <v>50.0</v>
      </c>
      <c r="D131" s="30">
        <v>125.0</v>
      </c>
      <c r="E131" s="30">
        <v>475.0</v>
      </c>
      <c r="F131" s="30" t="s">
        <v>110</v>
      </c>
      <c r="G131" s="30">
        <v>723.89</v>
      </c>
      <c r="H131" s="30">
        <v>599.44</v>
      </c>
      <c r="I131" s="30" t="s">
        <v>104</v>
      </c>
      <c r="J131" s="30">
        <v>36.0</v>
      </c>
      <c r="K131" s="30">
        <v>27.8</v>
      </c>
      <c r="L131" s="30">
        <v>19.0</v>
      </c>
      <c r="M131" s="30">
        <v>55.73</v>
      </c>
      <c r="N131" s="30">
        <v>12.0</v>
      </c>
      <c r="O131" s="30" t="s">
        <v>134</v>
      </c>
      <c r="P131" s="30">
        <v>0.5</v>
      </c>
      <c r="Q131" s="30" t="s">
        <v>136</v>
      </c>
    </row>
    <row r="132" ht="15.75" customHeight="1">
      <c r="A132" s="30">
        <v>5.4603903E7</v>
      </c>
      <c r="B132" s="30">
        <v>200.0</v>
      </c>
      <c r="C132" s="30">
        <v>100.0</v>
      </c>
      <c r="D132" s="30">
        <v>125.0</v>
      </c>
      <c r="E132" s="30">
        <v>425.0</v>
      </c>
      <c r="F132" s="30" t="s">
        <v>110</v>
      </c>
      <c r="G132" s="30">
        <v>741.54</v>
      </c>
      <c r="H132" s="30">
        <v>614.93</v>
      </c>
      <c r="I132" s="30" t="s">
        <v>102</v>
      </c>
      <c r="J132" s="30">
        <v>24.0</v>
      </c>
      <c r="K132" s="30">
        <v>23.2</v>
      </c>
      <c r="L132" s="30">
        <v>29.0</v>
      </c>
      <c r="M132" s="30">
        <v>55.29</v>
      </c>
      <c r="N132" s="30">
        <v>6.0</v>
      </c>
      <c r="O132" s="30" t="s">
        <v>137</v>
      </c>
      <c r="P132" s="30">
        <v>0.4</v>
      </c>
      <c r="Q132" s="30" t="s">
        <v>136</v>
      </c>
    </row>
    <row r="133" ht="15.75" customHeight="1">
      <c r="A133" s="30">
        <v>4.2093371E7</v>
      </c>
      <c r="B133" s="30">
        <v>200.0</v>
      </c>
      <c r="C133" s="30">
        <v>50.0</v>
      </c>
      <c r="D133" s="30">
        <v>125.0</v>
      </c>
      <c r="E133" s="30">
        <v>375.0</v>
      </c>
      <c r="F133" s="30" t="s">
        <v>112</v>
      </c>
      <c r="G133" s="30">
        <v>630.05</v>
      </c>
      <c r="H133" s="30">
        <v>528.03</v>
      </c>
      <c r="I133" s="30" t="s">
        <v>106</v>
      </c>
      <c r="J133" s="30">
        <v>28.0</v>
      </c>
      <c r="K133" s="30">
        <v>27.3</v>
      </c>
      <c r="L133" s="30">
        <v>27.9</v>
      </c>
      <c r="M133" s="30">
        <v>58.05</v>
      </c>
      <c r="N133" s="30">
        <v>6.0</v>
      </c>
      <c r="O133" s="30" t="s">
        <v>137</v>
      </c>
      <c r="P133" s="30">
        <v>0.4</v>
      </c>
      <c r="Q133" s="30" t="s">
        <v>136</v>
      </c>
    </row>
    <row r="134" ht="15.75" customHeight="1">
      <c r="A134" s="30">
        <v>6.4190505E7</v>
      </c>
      <c r="B134" s="30">
        <v>200.0</v>
      </c>
      <c r="C134" s="30">
        <v>150.0</v>
      </c>
      <c r="D134" s="30">
        <v>75.0</v>
      </c>
      <c r="E134" s="30">
        <v>425.0</v>
      </c>
      <c r="F134" s="30" t="s">
        <v>110</v>
      </c>
      <c r="G134" s="30">
        <v>623.05</v>
      </c>
      <c r="H134" s="30">
        <v>543.83</v>
      </c>
      <c r="I134" s="30" t="s">
        <v>106</v>
      </c>
      <c r="J134" s="30">
        <v>11.0</v>
      </c>
      <c r="K134" s="30">
        <v>44.0</v>
      </c>
      <c r="L134" s="30">
        <v>13.7</v>
      </c>
      <c r="M134" s="30">
        <v>80.4</v>
      </c>
      <c r="N134" s="30">
        <v>6.0</v>
      </c>
      <c r="O134" s="30" t="s">
        <v>137</v>
      </c>
      <c r="P134" s="30">
        <v>0.4</v>
      </c>
      <c r="Q134" s="30" t="s">
        <v>136</v>
      </c>
    </row>
    <row r="135" ht="15.75" customHeight="1">
      <c r="A135" s="30">
        <v>6.5275412E7</v>
      </c>
      <c r="B135" s="30">
        <v>300.0</v>
      </c>
      <c r="C135" s="30">
        <v>50.0</v>
      </c>
      <c r="D135" s="30">
        <v>75.0</v>
      </c>
      <c r="E135" s="30">
        <v>425.0</v>
      </c>
      <c r="F135" s="30" t="s">
        <v>110</v>
      </c>
      <c r="G135" s="30">
        <v>600.18</v>
      </c>
      <c r="H135" s="30">
        <v>530.11</v>
      </c>
      <c r="I135" s="30" t="s">
        <v>106</v>
      </c>
      <c r="J135" s="30">
        <v>48.0</v>
      </c>
      <c r="K135" s="30">
        <v>42.6</v>
      </c>
      <c r="L135" s="30">
        <v>22.3</v>
      </c>
      <c r="M135" s="30">
        <v>77.88</v>
      </c>
      <c r="N135" s="30">
        <v>6.0</v>
      </c>
      <c r="O135" s="30" t="s">
        <v>137</v>
      </c>
      <c r="P135" s="30">
        <v>0.4</v>
      </c>
      <c r="Q135" s="30" t="s">
        <v>136</v>
      </c>
    </row>
    <row r="136" ht="15.75" customHeight="1">
      <c r="A136" s="30">
        <v>4.7328448E7</v>
      </c>
      <c r="B136" s="30">
        <v>200.0</v>
      </c>
      <c r="C136" s="30">
        <v>100.0</v>
      </c>
      <c r="D136" s="30">
        <v>75.0</v>
      </c>
      <c r="E136" s="30">
        <v>375.0</v>
      </c>
      <c r="F136" s="30" t="s">
        <v>112</v>
      </c>
      <c r="G136" s="30">
        <v>719.63</v>
      </c>
      <c r="H136" s="30">
        <v>547.32</v>
      </c>
      <c r="I136" s="30" t="s">
        <v>106</v>
      </c>
      <c r="J136" s="30">
        <v>17.0</v>
      </c>
      <c r="K136" s="30">
        <v>19.8</v>
      </c>
      <c r="L136" s="30">
        <v>23.0</v>
      </c>
      <c r="M136" s="30">
        <v>61.41</v>
      </c>
      <c r="N136" s="30">
        <v>9.0</v>
      </c>
      <c r="O136" s="30" t="s">
        <v>134</v>
      </c>
      <c r="P136" s="30">
        <v>0.5</v>
      </c>
      <c r="Q136" s="30" t="s">
        <v>136</v>
      </c>
    </row>
    <row r="137" ht="15.75" customHeight="1">
      <c r="A137" s="30">
        <v>3.8406597E7</v>
      </c>
      <c r="B137" s="30">
        <v>200.0</v>
      </c>
      <c r="C137" s="30">
        <v>100.0</v>
      </c>
      <c r="D137" s="30">
        <v>125.0</v>
      </c>
      <c r="E137" s="30">
        <v>425.0</v>
      </c>
      <c r="F137" s="30" t="s">
        <v>110</v>
      </c>
      <c r="G137" s="30">
        <v>704.25</v>
      </c>
      <c r="H137" s="30">
        <v>592.55</v>
      </c>
      <c r="I137" s="30" t="s">
        <v>104</v>
      </c>
      <c r="J137" s="30">
        <v>42.0</v>
      </c>
      <c r="K137" s="30">
        <v>26.9</v>
      </c>
      <c r="L137" s="30">
        <v>29.5</v>
      </c>
      <c r="M137" s="30">
        <v>75.27</v>
      </c>
      <c r="N137" s="30">
        <v>12.0</v>
      </c>
      <c r="O137" s="30" t="s">
        <v>137</v>
      </c>
      <c r="P137" s="30">
        <v>0.4</v>
      </c>
      <c r="Q137" s="30" t="s">
        <v>136</v>
      </c>
    </row>
    <row r="138" ht="15.75" customHeight="1">
      <c r="A138" s="30">
        <v>3.3736605E7</v>
      </c>
      <c r="B138" s="30">
        <v>300.0</v>
      </c>
      <c r="C138" s="30">
        <v>100.0</v>
      </c>
      <c r="D138" s="30">
        <v>125.0</v>
      </c>
      <c r="E138" s="30">
        <v>525.0</v>
      </c>
      <c r="F138" s="30" t="s">
        <v>106</v>
      </c>
      <c r="G138" s="30">
        <v>674.83</v>
      </c>
      <c r="H138" s="30">
        <v>614.9</v>
      </c>
      <c r="I138" s="30" t="s">
        <v>102</v>
      </c>
      <c r="J138" s="30">
        <v>24.0</v>
      </c>
      <c r="K138" s="30">
        <v>19.4</v>
      </c>
      <c r="L138" s="30">
        <v>12.1</v>
      </c>
      <c r="M138" s="30">
        <v>69.98</v>
      </c>
      <c r="N138" s="30">
        <v>12.0</v>
      </c>
      <c r="O138" s="30" t="s">
        <v>137</v>
      </c>
      <c r="P138" s="30">
        <v>0.4</v>
      </c>
      <c r="Q138" s="30" t="s">
        <v>136</v>
      </c>
    </row>
    <row r="139" ht="15.75" customHeight="1">
      <c r="A139" s="30">
        <v>3.2870957E7</v>
      </c>
      <c r="B139" s="30">
        <v>200.0</v>
      </c>
      <c r="C139" s="30">
        <v>100.0</v>
      </c>
      <c r="D139" s="30">
        <v>125.0</v>
      </c>
      <c r="E139" s="30">
        <v>425.0</v>
      </c>
      <c r="F139" s="30" t="s">
        <v>110</v>
      </c>
      <c r="G139" s="30">
        <v>604.98</v>
      </c>
      <c r="H139" s="30">
        <v>514.99</v>
      </c>
      <c r="I139" s="30" t="s">
        <v>106</v>
      </c>
      <c r="J139" s="30">
        <v>26.0</v>
      </c>
      <c r="K139" s="30">
        <v>17.2</v>
      </c>
      <c r="L139" s="30">
        <v>20.7</v>
      </c>
      <c r="M139" s="30">
        <v>80.89</v>
      </c>
      <c r="N139" s="30">
        <v>9.0</v>
      </c>
      <c r="O139" s="30" t="s">
        <v>134</v>
      </c>
      <c r="P139" s="30">
        <v>0.5</v>
      </c>
      <c r="Q139" s="30" t="s">
        <v>136</v>
      </c>
    </row>
    <row r="140" ht="15.75" customHeight="1">
      <c r="A140" s="30">
        <v>1.9521634E7</v>
      </c>
      <c r="B140" s="30">
        <v>200.0</v>
      </c>
      <c r="C140" s="30">
        <v>150.0</v>
      </c>
      <c r="D140" s="30">
        <v>75.0</v>
      </c>
      <c r="E140" s="30">
        <v>425.0</v>
      </c>
      <c r="F140" s="30" t="s">
        <v>110</v>
      </c>
      <c r="G140" s="30">
        <v>742.73</v>
      </c>
      <c r="H140" s="30">
        <v>583.87</v>
      </c>
      <c r="I140" s="30" t="s">
        <v>104</v>
      </c>
      <c r="J140" s="30">
        <v>10.0</v>
      </c>
      <c r="K140" s="30">
        <v>35.8</v>
      </c>
      <c r="L140" s="30">
        <v>26.4</v>
      </c>
      <c r="M140" s="30">
        <v>51.44</v>
      </c>
      <c r="N140" s="30">
        <v>6.0</v>
      </c>
      <c r="O140" s="30" t="s">
        <v>134</v>
      </c>
      <c r="P140" s="30">
        <v>0.5</v>
      </c>
      <c r="Q140" s="30" t="s">
        <v>136</v>
      </c>
    </row>
    <row r="141" ht="15.75" customHeight="1">
      <c r="A141" s="30">
        <v>3.4674034E7</v>
      </c>
      <c r="B141" s="30">
        <v>300.0</v>
      </c>
      <c r="C141" s="30">
        <v>100.0</v>
      </c>
      <c r="D141" s="30">
        <v>125.0</v>
      </c>
      <c r="E141" s="30">
        <v>525.0</v>
      </c>
      <c r="F141" s="30" t="s">
        <v>106</v>
      </c>
      <c r="G141" s="30">
        <v>717.51</v>
      </c>
      <c r="H141" s="30">
        <v>640.51</v>
      </c>
      <c r="I141" s="30" t="s">
        <v>102</v>
      </c>
      <c r="J141" s="30">
        <v>11.0</v>
      </c>
      <c r="K141" s="30">
        <v>24.0</v>
      </c>
      <c r="L141" s="30">
        <v>28.7</v>
      </c>
      <c r="M141" s="30">
        <v>83.16</v>
      </c>
      <c r="N141" s="30">
        <v>9.0</v>
      </c>
      <c r="O141" s="30" t="s">
        <v>137</v>
      </c>
      <c r="P141" s="30">
        <v>0.4</v>
      </c>
      <c r="Q141" s="30" t="s">
        <v>136</v>
      </c>
    </row>
    <row r="142" ht="15.75" customHeight="1">
      <c r="A142" s="30">
        <v>2.785984E7</v>
      </c>
      <c r="B142" s="30">
        <v>200.0</v>
      </c>
      <c r="C142" s="30">
        <v>50.0</v>
      </c>
      <c r="D142" s="30">
        <v>50.0</v>
      </c>
      <c r="E142" s="30">
        <v>300.0</v>
      </c>
      <c r="F142" s="30" t="s">
        <v>112</v>
      </c>
      <c r="G142" s="30">
        <v>546.32</v>
      </c>
      <c r="H142" s="30">
        <v>447.79</v>
      </c>
      <c r="I142" s="30" t="s">
        <v>110</v>
      </c>
      <c r="J142" s="30">
        <v>16.0</v>
      </c>
      <c r="K142" s="30">
        <v>78.1</v>
      </c>
      <c r="L142" s="30">
        <v>41.8</v>
      </c>
      <c r="M142" s="30">
        <v>76.83</v>
      </c>
      <c r="N142" s="30">
        <v>6.0</v>
      </c>
      <c r="O142" s="30" t="s">
        <v>137</v>
      </c>
      <c r="P142" s="30">
        <v>0.4</v>
      </c>
      <c r="Q142" s="30" t="s">
        <v>138</v>
      </c>
    </row>
    <row r="143" ht="15.75" customHeight="1">
      <c r="A143" s="30">
        <v>5.600709E7</v>
      </c>
      <c r="B143" s="30">
        <v>100.0</v>
      </c>
      <c r="C143" s="30">
        <v>0.0</v>
      </c>
      <c r="D143" s="30">
        <v>75.0</v>
      </c>
      <c r="E143" s="30">
        <v>175.0</v>
      </c>
      <c r="F143" s="30" t="s">
        <v>112</v>
      </c>
      <c r="G143" s="30">
        <v>574.37</v>
      </c>
      <c r="H143" s="30">
        <v>454.56</v>
      </c>
      <c r="I143" s="30" t="s">
        <v>110</v>
      </c>
      <c r="J143" s="30">
        <v>36.0</v>
      </c>
      <c r="K143" s="30">
        <v>47.1</v>
      </c>
      <c r="L143" s="30">
        <v>59.2</v>
      </c>
      <c r="M143" s="30">
        <v>90.16</v>
      </c>
      <c r="N143" s="30">
        <v>6.0</v>
      </c>
      <c r="O143" s="30" t="s">
        <v>139</v>
      </c>
      <c r="P143" s="30">
        <v>0.3</v>
      </c>
      <c r="Q143" s="30" t="s">
        <v>138</v>
      </c>
    </row>
    <row r="144" ht="15.75" customHeight="1">
      <c r="A144" s="30">
        <v>6.553352E7</v>
      </c>
      <c r="B144" s="30">
        <v>100.0</v>
      </c>
      <c r="C144" s="30">
        <v>50.0</v>
      </c>
      <c r="D144" s="30">
        <v>75.0</v>
      </c>
      <c r="E144" s="30">
        <v>225.0</v>
      </c>
      <c r="F144" s="30" t="s">
        <v>112</v>
      </c>
      <c r="G144" s="30">
        <v>416.31</v>
      </c>
      <c r="H144" s="30">
        <v>358.91</v>
      </c>
      <c r="I144" s="30" t="s">
        <v>112</v>
      </c>
      <c r="J144" s="30">
        <v>33.0</v>
      </c>
      <c r="K144" s="30">
        <v>47.6</v>
      </c>
      <c r="L144" s="30">
        <v>59.9</v>
      </c>
      <c r="M144" s="30">
        <v>118.87</v>
      </c>
      <c r="N144" s="30">
        <v>3.0</v>
      </c>
      <c r="O144" s="30" t="s">
        <v>139</v>
      </c>
      <c r="P144" s="30">
        <v>0.3</v>
      </c>
      <c r="Q144" s="30" t="s">
        <v>138</v>
      </c>
    </row>
    <row r="145" ht="15.75" customHeight="1">
      <c r="A145" s="30">
        <v>2.4228803E7</v>
      </c>
      <c r="B145" s="30">
        <v>100.0</v>
      </c>
      <c r="C145" s="30">
        <v>0.0</v>
      </c>
      <c r="D145" s="30">
        <v>75.0</v>
      </c>
      <c r="E145" s="30">
        <v>175.0</v>
      </c>
      <c r="F145" s="30" t="s">
        <v>112</v>
      </c>
      <c r="G145" s="30">
        <v>485.1</v>
      </c>
      <c r="H145" s="30">
        <v>361.06</v>
      </c>
      <c r="I145" s="30" t="s">
        <v>112</v>
      </c>
      <c r="J145" s="30">
        <v>48.0</v>
      </c>
      <c r="K145" s="30">
        <v>44.6</v>
      </c>
      <c r="L145" s="30">
        <v>58.6</v>
      </c>
      <c r="M145" s="30">
        <v>93.72</v>
      </c>
      <c r="N145" s="30">
        <v>6.0</v>
      </c>
      <c r="O145" s="30" t="s">
        <v>137</v>
      </c>
      <c r="P145" s="30">
        <v>0.4</v>
      </c>
      <c r="Q145" s="30" t="s">
        <v>138</v>
      </c>
    </row>
    <row r="146" ht="15.75" customHeight="1">
      <c r="A146" s="30">
        <v>2.0705762E7</v>
      </c>
      <c r="B146" s="30">
        <v>200.0</v>
      </c>
      <c r="C146" s="30">
        <v>50.0</v>
      </c>
      <c r="D146" s="30">
        <v>50.0</v>
      </c>
      <c r="E146" s="30">
        <v>300.0</v>
      </c>
      <c r="F146" s="30" t="s">
        <v>112</v>
      </c>
      <c r="G146" s="30">
        <v>497.33</v>
      </c>
      <c r="H146" s="30">
        <v>438.13</v>
      </c>
      <c r="I146" s="30" t="s">
        <v>110</v>
      </c>
      <c r="J146" s="30">
        <v>38.0</v>
      </c>
      <c r="K146" s="30">
        <v>63.3</v>
      </c>
      <c r="L146" s="30">
        <v>45.6</v>
      </c>
      <c r="M146" s="30">
        <v>76.32</v>
      </c>
      <c r="N146" s="30">
        <v>6.0</v>
      </c>
      <c r="O146" s="30" t="s">
        <v>139</v>
      </c>
      <c r="P146" s="30">
        <v>0.3</v>
      </c>
      <c r="Q146" s="30" t="s">
        <v>138</v>
      </c>
    </row>
    <row r="147" ht="15.75" customHeight="1">
      <c r="A147" s="30">
        <v>7.8264448E7</v>
      </c>
      <c r="B147" s="30">
        <v>200.0</v>
      </c>
      <c r="C147" s="30">
        <v>50.0</v>
      </c>
      <c r="D147" s="30">
        <v>75.0</v>
      </c>
      <c r="E147" s="30">
        <v>325.0</v>
      </c>
      <c r="F147" s="30" t="s">
        <v>112</v>
      </c>
      <c r="G147" s="30">
        <v>526.31</v>
      </c>
      <c r="H147" s="30">
        <v>465.92</v>
      </c>
      <c r="I147" s="30" t="s">
        <v>110</v>
      </c>
      <c r="J147" s="30">
        <v>39.0</v>
      </c>
      <c r="K147" s="30">
        <v>50.6</v>
      </c>
      <c r="L147" s="30">
        <v>37.6</v>
      </c>
      <c r="M147" s="30">
        <v>92.27</v>
      </c>
      <c r="N147" s="30">
        <v>6.0</v>
      </c>
      <c r="O147" s="30" t="s">
        <v>139</v>
      </c>
      <c r="P147" s="30">
        <v>0.3</v>
      </c>
      <c r="Q147" s="30" t="s">
        <v>138</v>
      </c>
    </row>
    <row r="148" ht="15.75" customHeight="1">
      <c r="A148" s="30">
        <v>8.1111722E7</v>
      </c>
      <c r="B148" s="30">
        <v>200.0</v>
      </c>
      <c r="C148" s="30">
        <v>0.0</v>
      </c>
      <c r="D148" s="30">
        <v>75.0</v>
      </c>
      <c r="E148" s="30">
        <v>275.0</v>
      </c>
      <c r="F148" s="30" t="s">
        <v>112</v>
      </c>
      <c r="G148" s="30">
        <v>570.88</v>
      </c>
      <c r="H148" s="30">
        <v>482.11</v>
      </c>
      <c r="I148" s="30" t="s">
        <v>110</v>
      </c>
      <c r="J148" s="30">
        <v>18.0</v>
      </c>
      <c r="K148" s="30">
        <v>69.8</v>
      </c>
      <c r="L148" s="30">
        <v>38.0</v>
      </c>
      <c r="M148" s="30">
        <v>98.07</v>
      </c>
      <c r="N148" s="30">
        <v>3.0</v>
      </c>
      <c r="O148" s="30" t="s">
        <v>139</v>
      </c>
      <c r="P148" s="30">
        <v>0.3</v>
      </c>
      <c r="Q148" s="30" t="s">
        <v>138</v>
      </c>
    </row>
    <row r="149" ht="15.75" customHeight="1">
      <c r="A149" s="30">
        <v>8.9362337E7</v>
      </c>
      <c r="B149" s="30">
        <v>100.0</v>
      </c>
      <c r="C149" s="30">
        <v>0.0</v>
      </c>
      <c r="D149" s="30">
        <v>50.0</v>
      </c>
      <c r="E149" s="30">
        <v>150.0</v>
      </c>
      <c r="F149" s="30" t="s">
        <v>112</v>
      </c>
      <c r="G149" s="30">
        <v>571.6</v>
      </c>
      <c r="H149" s="30">
        <v>402.96</v>
      </c>
      <c r="I149" s="30" t="s">
        <v>110</v>
      </c>
      <c r="J149" s="30">
        <v>5.0</v>
      </c>
      <c r="K149" s="30">
        <v>44.0</v>
      </c>
      <c r="L149" s="30">
        <v>38.7</v>
      </c>
      <c r="M149" s="30">
        <v>118.62</v>
      </c>
      <c r="N149" s="30">
        <v>6.0</v>
      </c>
      <c r="O149" s="30" t="s">
        <v>137</v>
      </c>
      <c r="P149" s="30">
        <v>0.4</v>
      </c>
      <c r="Q149" s="30" t="s">
        <v>138</v>
      </c>
    </row>
    <row r="150" ht="15.75" customHeight="1">
      <c r="A150" s="30">
        <v>1.270277E7</v>
      </c>
      <c r="B150" s="30">
        <v>200.0</v>
      </c>
      <c r="C150" s="30">
        <v>0.0</v>
      </c>
      <c r="D150" s="30">
        <v>75.0</v>
      </c>
      <c r="E150" s="30">
        <v>275.0</v>
      </c>
      <c r="F150" s="30" t="s">
        <v>112</v>
      </c>
      <c r="G150" s="30">
        <v>466.18</v>
      </c>
      <c r="H150" s="30">
        <v>408.82</v>
      </c>
      <c r="I150" s="30" t="s">
        <v>110</v>
      </c>
      <c r="J150" s="30">
        <v>16.0</v>
      </c>
      <c r="K150" s="30">
        <v>60.0</v>
      </c>
      <c r="L150" s="30">
        <v>33.3</v>
      </c>
      <c r="M150" s="30">
        <v>78.31</v>
      </c>
      <c r="N150" s="30">
        <v>6.0</v>
      </c>
      <c r="O150" s="30" t="s">
        <v>139</v>
      </c>
      <c r="P150" s="30">
        <v>0.3</v>
      </c>
      <c r="Q150" s="30" t="s">
        <v>138</v>
      </c>
    </row>
    <row r="151" ht="15.75" customHeight="1">
      <c r="A151" s="30">
        <v>4.1601764E7</v>
      </c>
      <c r="B151" s="30">
        <v>200.0</v>
      </c>
      <c r="C151" s="30">
        <v>0.0</v>
      </c>
      <c r="D151" s="30">
        <v>50.0</v>
      </c>
      <c r="E151" s="30">
        <v>250.0</v>
      </c>
      <c r="F151" s="30" t="s">
        <v>112</v>
      </c>
      <c r="G151" s="30">
        <v>475.87</v>
      </c>
      <c r="H151" s="30">
        <v>408.11</v>
      </c>
      <c r="I151" s="30" t="s">
        <v>110</v>
      </c>
      <c r="J151" s="30">
        <v>41.0</v>
      </c>
      <c r="K151" s="30">
        <v>68.9</v>
      </c>
      <c r="L151" s="30">
        <v>49.7</v>
      </c>
      <c r="M151" s="30">
        <v>82.52</v>
      </c>
      <c r="N151" s="30">
        <v>6.0</v>
      </c>
      <c r="O151" s="30" t="s">
        <v>139</v>
      </c>
      <c r="P151" s="30">
        <v>0.3</v>
      </c>
      <c r="Q151" s="30" t="s">
        <v>138</v>
      </c>
    </row>
    <row r="152" ht="15.75" customHeight="1">
      <c r="A152" s="30">
        <v>3.046958E7</v>
      </c>
      <c r="B152" s="30">
        <v>100.0</v>
      </c>
      <c r="C152" s="30">
        <v>50.0</v>
      </c>
      <c r="D152" s="30">
        <v>75.0</v>
      </c>
      <c r="E152" s="30">
        <v>225.0</v>
      </c>
      <c r="F152" s="30" t="s">
        <v>112</v>
      </c>
      <c r="G152" s="30">
        <v>422.38</v>
      </c>
      <c r="H152" s="30">
        <v>343.43</v>
      </c>
      <c r="I152" s="30" t="s">
        <v>112</v>
      </c>
      <c r="J152" s="30">
        <v>6.0</v>
      </c>
      <c r="K152" s="30">
        <v>59.6</v>
      </c>
      <c r="L152" s="30">
        <v>55.2</v>
      </c>
      <c r="M152" s="30">
        <v>100.12</v>
      </c>
      <c r="N152" s="30">
        <v>3.0</v>
      </c>
      <c r="O152" s="30" t="s">
        <v>137</v>
      </c>
      <c r="P152" s="30">
        <v>0.4</v>
      </c>
      <c r="Q152" s="30" t="s">
        <v>138</v>
      </c>
    </row>
    <row r="153" ht="15.75" customHeight="1">
      <c r="A153" s="30">
        <v>7.9200313E7</v>
      </c>
      <c r="B153" s="30">
        <v>100.0</v>
      </c>
      <c r="C153" s="30">
        <v>0.0</v>
      </c>
      <c r="D153" s="30">
        <v>50.0</v>
      </c>
      <c r="E153" s="30">
        <v>150.0</v>
      </c>
      <c r="F153" s="30" t="s">
        <v>112</v>
      </c>
      <c r="G153" s="30">
        <v>463.23</v>
      </c>
      <c r="H153" s="30">
        <v>369.26</v>
      </c>
      <c r="I153" s="30" t="s">
        <v>112</v>
      </c>
      <c r="J153" s="30">
        <v>18.0</v>
      </c>
      <c r="K153" s="30">
        <v>70.2</v>
      </c>
      <c r="L153" s="30">
        <v>32.9</v>
      </c>
      <c r="M153" s="30">
        <v>83.1</v>
      </c>
      <c r="N153" s="30">
        <v>3.0</v>
      </c>
      <c r="O153" s="30" t="s">
        <v>139</v>
      </c>
      <c r="P153" s="30">
        <v>0.3</v>
      </c>
      <c r="Q153" s="30" t="s">
        <v>138</v>
      </c>
    </row>
    <row r="154" ht="15.75" customHeight="1">
      <c r="A154" s="30">
        <v>2.67721E7</v>
      </c>
      <c r="B154" s="30">
        <v>200.0</v>
      </c>
      <c r="C154" s="30">
        <v>0.0</v>
      </c>
      <c r="D154" s="30">
        <v>50.0</v>
      </c>
      <c r="E154" s="30">
        <v>250.0</v>
      </c>
      <c r="F154" s="30" t="s">
        <v>112</v>
      </c>
      <c r="G154" s="30">
        <v>573.58</v>
      </c>
      <c r="H154" s="30">
        <v>476.51</v>
      </c>
      <c r="I154" s="30" t="s">
        <v>110</v>
      </c>
      <c r="J154" s="30">
        <v>47.0</v>
      </c>
      <c r="K154" s="30">
        <v>72.7</v>
      </c>
      <c r="L154" s="30">
        <v>25.6</v>
      </c>
      <c r="M154" s="30">
        <v>89.54</v>
      </c>
      <c r="N154" s="30">
        <v>3.0</v>
      </c>
      <c r="O154" s="30" t="s">
        <v>139</v>
      </c>
      <c r="P154" s="30">
        <v>0.3</v>
      </c>
      <c r="Q154" s="30" t="s">
        <v>138</v>
      </c>
    </row>
    <row r="155" ht="15.75" customHeight="1">
      <c r="A155" s="30">
        <v>2.5200244E7</v>
      </c>
      <c r="B155" s="30">
        <v>100.0</v>
      </c>
      <c r="C155" s="30">
        <v>50.0</v>
      </c>
      <c r="D155" s="30">
        <v>50.0</v>
      </c>
      <c r="E155" s="30">
        <v>200.0</v>
      </c>
      <c r="F155" s="30" t="s">
        <v>112</v>
      </c>
      <c r="G155" s="30">
        <v>546.58</v>
      </c>
      <c r="H155" s="30">
        <v>407.95</v>
      </c>
      <c r="I155" s="30" t="s">
        <v>110</v>
      </c>
      <c r="J155" s="30">
        <v>25.0</v>
      </c>
      <c r="K155" s="30">
        <v>36.6</v>
      </c>
      <c r="L155" s="30">
        <v>35.8</v>
      </c>
      <c r="M155" s="30">
        <v>106.71</v>
      </c>
      <c r="N155" s="30">
        <v>6.0</v>
      </c>
      <c r="O155" s="30" t="s">
        <v>137</v>
      </c>
      <c r="P155" s="30">
        <v>0.4</v>
      </c>
      <c r="Q155" s="30" t="s">
        <v>138</v>
      </c>
    </row>
    <row r="156" ht="15.75" customHeight="1">
      <c r="A156" s="30">
        <v>4.7391823E7</v>
      </c>
      <c r="B156" s="30">
        <v>100.0</v>
      </c>
      <c r="C156" s="30">
        <v>50.0</v>
      </c>
      <c r="D156" s="30">
        <v>50.0</v>
      </c>
      <c r="E156" s="30">
        <v>200.0</v>
      </c>
      <c r="F156" s="30" t="s">
        <v>112</v>
      </c>
      <c r="G156" s="30">
        <v>595.73</v>
      </c>
      <c r="H156" s="30">
        <v>437.44</v>
      </c>
      <c r="I156" s="30" t="s">
        <v>110</v>
      </c>
      <c r="J156" s="30">
        <v>34.0</v>
      </c>
      <c r="K156" s="30">
        <v>82.7</v>
      </c>
      <c r="L156" s="30">
        <v>31.2</v>
      </c>
      <c r="M156" s="30">
        <v>106.17</v>
      </c>
      <c r="N156" s="30">
        <v>3.0</v>
      </c>
      <c r="O156" s="30" t="s">
        <v>137</v>
      </c>
      <c r="P156" s="30">
        <v>0.4</v>
      </c>
      <c r="Q156" s="30" t="s">
        <v>138</v>
      </c>
    </row>
    <row r="157" ht="15.75" customHeight="1">
      <c r="A157" s="30">
        <v>6.5570377E7</v>
      </c>
      <c r="B157" s="30">
        <v>100.0</v>
      </c>
      <c r="C157" s="30">
        <v>50.0</v>
      </c>
      <c r="D157" s="30">
        <v>75.0</v>
      </c>
      <c r="E157" s="30">
        <v>225.0</v>
      </c>
      <c r="F157" s="30" t="s">
        <v>112</v>
      </c>
      <c r="G157" s="30">
        <v>583.74</v>
      </c>
      <c r="H157" s="30">
        <v>476.11</v>
      </c>
      <c r="I157" s="30" t="s">
        <v>110</v>
      </c>
      <c r="J157" s="30">
        <v>35.0</v>
      </c>
      <c r="K157" s="30">
        <v>66.4</v>
      </c>
      <c r="L157" s="30">
        <v>26.1</v>
      </c>
      <c r="M157" s="30">
        <v>116.89</v>
      </c>
      <c r="N157" s="30">
        <v>6.0</v>
      </c>
      <c r="O157" s="30" t="s">
        <v>139</v>
      </c>
      <c r="P157" s="30">
        <v>0.3</v>
      </c>
      <c r="Q157" s="30" t="s">
        <v>138</v>
      </c>
    </row>
    <row r="158" ht="15.75" customHeight="1">
      <c r="A158" s="30">
        <v>5.5892395E7</v>
      </c>
      <c r="B158" s="30">
        <v>200.0</v>
      </c>
      <c r="C158" s="30">
        <v>0.0</v>
      </c>
      <c r="D158" s="30">
        <v>75.0</v>
      </c>
      <c r="E158" s="30">
        <v>275.0</v>
      </c>
      <c r="F158" s="30" t="s">
        <v>112</v>
      </c>
      <c r="G158" s="30">
        <v>463.62</v>
      </c>
      <c r="H158" s="30">
        <v>407.04</v>
      </c>
      <c r="I158" s="30" t="s">
        <v>110</v>
      </c>
      <c r="J158" s="30">
        <v>29.0</v>
      </c>
      <c r="K158" s="30">
        <v>40.9</v>
      </c>
      <c r="L158" s="30">
        <v>48.0</v>
      </c>
      <c r="M158" s="30">
        <v>119.97</v>
      </c>
      <c r="N158" s="30">
        <v>6.0</v>
      </c>
      <c r="O158" s="30" t="s">
        <v>139</v>
      </c>
      <c r="P158" s="30">
        <v>0.3</v>
      </c>
      <c r="Q158" s="30" t="s">
        <v>138</v>
      </c>
    </row>
    <row r="159" ht="15.75" customHeight="1">
      <c r="A159" s="30">
        <v>3.5094359E7</v>
      </c>
      <c r="B159" s="30">
        <v>200.0</v>
      </c>
      <c r="C159" s="30">
        <v>50.0</v>
      </c>
      <c r="D159" s="30">
        <v>50.0</v>
      </c>
      <c r="E159" s="30">
        <v>300.0</v>
      </c>
      <c r="F159" s="30" t="s">
        <v>112</v>
      </c>
      <c r="G159" s="30">
        <v>585.13</v>
      </c>
      <c r="H159" s="30">
        <v>499.59</v>
      </c>
      <c r="I159" s="30" t="s">
        <v>110</v>
      </c>
      <c r="J159" s="30">
        <v>38.0</v>
      </c>
      <c r="K159" s="30">
        <v>75.6</v>
      </c>
      <c r="L159" s="30">
        <v>55.7</v>
      </c>
      <c r="M159" s="30">
        <v>93.19</v>
      </c>
      <c r="N159" s="30">
        <v>6.0</v>
      </c>
      <c r="O159" s="30" t="s">
        <v>139</v>
      </c>
      <c r="P159" s="30">
        <v>0.3</v>
      </c>
      <c r="Q159" s="30" t="s">
        <v>138</v>
      </c>
    </row>
    <row r="160" ht="15.75" customHeight="1">
      <c r="A160" s="30">
        <v>8.6349034E7</v>
      </c>
      <c r="B160" s="30">
        <v>200.0</v>
      </c>
      <c r="C160" s="30">
        <v>50.0</v>
      </c>
      <c r="D160" s="30">
        <v>50.0</v>
      </c>
      <c r="E160" s="30">
        <v>300.0</v>
      </c>
      <c r="F160" s="30" t="s">
        <v>112</v>
      </c>
      <c r="G160" s="30">
        <v>465.68</v>
      </c>
      <c r="H160" s="30">
        <v>415.97</v>
      </c>
      <c r="I160" s="30" t="s">
        <v>110</v>
      </c>
      <c r="J160" s="30">
        <v>11.0</v>
      </c>
      <c r="K160" s="30">
        <v>80.0</v>
      </c>
      <c r="L160" s="30">
        <v>29.2</v>
      </c>
      <c r="M160" s="30">
        <v>99.5</v>
      </c>
      <c r="N160" s="30">
        <v>3.0</v>
      </c>
      <c r="O160" s="30" t="s">
        <v>139</v>
      </c>
      <c r="P160" s="30">
        <v>0.3</v>
      </c>
      <c r="Q160" s="30" t="s">
        <v>138</v>
      </c>
    </row>
    <row r="161" ht="15.75" customHeight="1">
      <c r="A161" s="30">
        <v>9.9119075E7</v>
      </c>
      <c r="B161" s="30">
        <v>100.0</v>
      </c>
      <c r="C161" s="30">
        <v>0.0</v>
      </c>
      <c r="D161" s="30">
        <v>50.0</v>
      </c>
      <c r="E161" s="30">
        <v>150.0</v>
      </c>
      <c r="F161" s="30" t="s">
        <v>112</v>
      </c>
      <c r="G161" s="30">
        <v>414.64</v>
      </c>
      <c r="H161" s="30">
        <v>335.25</v>
      </c>
      <c r="I161" s="30" t="s">
        <v>112</v>
      </c>
      <c r="J161" s="30">
        <v>18.0</v>
      </c>
      <c r="K161" s="30">
        <v>67.8</v>
      </c>
      <c r="L161" s="30">
        <v>44.1</v>
      </c>
      <c r="M161" s="30">
        <v>95.0</v>
      </c>
      <c r="N161" s="30">
        <v>6.0</v>
      </c>
      <c r="O161" s="30" t="s">
        <v>139</v>
      </c>
      <c r="P161" s="30">
        <v>0.3</v>
      </c>
      <c r="Q161" s="30" t="s">
        <v>138</v>
      </c>
    </row>
    <row r="162" ht="15.75" customHeight="1">
      <c r="A162" s="30">
        <v>1.3164623E7</v>
      </c>
      <c r="B162" s="30">
        <v>200.0</v>
      </c>
      <c r="C162" s="30">
        <v>0.0</v>
      </c>
      <c r="D162" s="30">
        <v>50.0</v>
      </c>
      <c r="E162" s="30">
        <v>250.0</v>
      </c>
      <c r="F162" s="30" t="s">
        <v>112</v>
      </c>
      <c r="G162" s="30">
        <v>562.75</v>
      </c>
      <c r="H162" s="30">
        <v>437.65</v>
      </c>
      <c r="I162" s="30" t="s">
        <v>110</v>
      </c>
      <c r="J162" s="30">
        <v>9.0</v>
      </c>
      <c r="K162" s="30">
        <v>82.5</v>
      </c>
      <c r="L162" s="30">
        <v>43.2</v>
      </c>
      <c r="M162" s="30">
        <v>96.56</v>
      </c>
      <c r="N162" s="30">
        <v>3.0</v>
      </c>
      <c r="O162" s="30" t="s">
        <v>137</v>
      </c>
      <c r="P162" s="30">
        <v>0.4</v>
      </c>
      <c r="Q162" s="30" t="s">
        <v>138</v>
      </c>
    </row>
    <row r="163" ht="15.75" customHeight="1">
      <c r="A163" s="30">
        <v>9.1233366E7</v>
      </c>
      <c r="B163" s="30">
        <v>100.0</v>
      </c>
      <c r="C163" s="30">
        <v>50.0</v>
      </c>
      <c r="D163" s="30">
        <v>50.0</v>
      </c>
      <c r="E163" s="30">
        <v>200.0</v>
      </c>
      <c r="F163" s="30" t="s">
        <v>112</v>
      </c>
      <c r="G163" s="30">
        <v>543.1</v>
      </c>
      <c r="H163" s="30">
        <v>440.17</v>
      </c>
      <c r="I163" s="30" t="s">
        <v>110</v>
      </c>
      <c r="J163" s="30">
        <v>25.0</v>
      </c>
      <c r="K163" s="30">
        <v>68.4</v>
      </c>
      <c r="L163" s="30">
        <v>51.8</v>
      </c>
      <c r="M163" s="30">
        <v>111.58</v>
      </c>
      <c r="N163" s="30">
        <v>6.0</v>
      </c>
      <c r="O163" s="30" t="s">
        <v>139</v>
      </c>
      <c r="P163" s="30">
        <v>0.3</v>
      </c>
      <c r="Q163" s="30" t="s">
        <v>138</v>
      </c>
    </row>
    <row r="164" ht="15.75" customHeight="1">
      <c r="A164" s="30">
        <v>1.9910658E7</v>
      </c>
      <c r="B164" s="30">
        <v>100.0</v>
      </c>
      <c r="C164" s="30">
        <v>0.0</v>
      </c>
      <c r="D164" s="30">
        <v>75.0</v>
      </c>
      <c r="E164" s="30">
        <v>175.0</v>
      </c>
      <c r="F164" s="30" t="s">
        <v>112</v>
      </c>
      <c r="G164" s="30">
        <v>439.43</v>
      </c>
      <c r="H164" s="30">
        <v>360.1</v>
      </c>
      <c r="I164" s="30" t="s">
        <v>112</v>
      </c>
      <c r="J164" s="30">
        <v>23.0</v>
      </c>
      <c r="K164" s="30">
        <v>84.4</v>
      </c>
      <c r="L164" s="30">
        <v>33.5</v>
      </c>
      <c r="M164" s="30">
        <v>116.72</v>
      </c>
      <c r="N164" s="30">
        <v>3.0</v>
      </c>
      <c r="O164" s="30" t="s">
        <v>139</v>
      </c>
      <c r="P164" s="30">
        <v>0.3</v>
      </c>
      <c r="Q164" s="30" t="s">
        <v>138</v>
      </c>
    </row>
    <row r="165" ht="15.75" customHeight="1">
      <c r="A165" s="30">
        <v>5.3799848E7</v>
      </c>
      <c r="B165" s="30">
        <v>100.0</v>
      </c>
      <c r="C165" s="30">
        <v>0.0</v>
      </c>
      <c r="D165" s="30">
        <v>50.0</v>
      </c>
      <c r="E165" s="30">
        <v>150.0</v>
      </c>
      <c r="F165" s="30" t="s">
        <v>112</v>
      </c>
      <c r="G165" s="30">
        <v>516.19</v>
      </c>
      <c r="H165" s="30">
        <v>369.71</v>
      </c>
      <c r="I165" s="30" t="s">
        <v>112</v>
      </c>
      <c r="J165" s="30">
        <v>34.0</v>
      </c>
      <c r="K165" s="30">
        <v>50.7</v>
      </c>
      <c r="L165" s="30">
        <v>35.8</v>
      </c>
      <c r="M165" s="30">
        <v>111.14</v>
      </c>
      <c r="N165" s="30">
        <v>3.0</v>
      </c>
      <c r="O165" s="30" t="s">
        <v>137</v>
      </c>
      <c r="P165" s="30">
        <v>0.4</v>
      </c>
      <c r="Q165" s="30" t="s">
        <v>138</v>
      </c>
    </row>
    <row r="166" ht="15.75" customHeight="1">
      <c r="A166" s="30">
        <v>2.2061339E7</v>
      </c>
      <c r="B166" s="30">
        <v>200.0</v>
      </c>
      <c r="C166" s="30">
        <v>0.0</v>
      </c>
      <c r="D166" s="30">
        <v>50.0</v>
      </c>
      <c r="E166" s="30">
        <v>250.0</v>
      </c>
      <c r="F166" s="30" t="s">
        <v>112</v>
      </c>
      <c r="G166" s="30">
        <v>559.96</v>
      </c>
      <c r="H166" s="30">
        <v>435.97</v>
      </c>
      <c r="I166" s="30" t="s">
        <v>110</v>
      </c>
      <c r="J166" s="30">
        <v>46.0</v>
      </c>
      <c r="K166" s="30">
        <v>41.7</v>
      </c>
      <c r="L166" s="30">
        <v>31.3</v>
      </c>
      <c r="M166" s="30">
        <v>105.65</v>
      </c>
      <c r="N166" s="30">
        <v>6.0</v>
      </c>
      <c r="O166" s="30" t="s">
        <v>137</v>
      </c>
      <c r="P166" s="30">
        <v>0.4</v>
      </c>
      <c r="Q166" s="30" t="s">
        <v>138</v>
      </c>
    </row>
    <row r="167" ht="15.75" customHeight="1">
      <c r="A167" s="30">
        <v>2.5504766E7</v>
      </c>
      <c r="B167" s="30">
        <v>100.0</v>
      </c>
      <c r="C167" s="30">
        <v>50.0</v>
      </c>
      <c r="D167" s="30">
        <v>50.0</v>
      </c>
      <c r="E167" s="30">
        <v>200.0</v>
      </c>
      <c r="F167" s="30" t="s">
        <v>112</v>
      </c>
      <c r="G167" s="30">
        <v>526.63</v>
      </c>
      <c r="H167" s="30">
        <v>428.64</v>
      </c>
      <c r="I167" s="30" t="s">
        <v>110</v>
      </c>
      <c r="J167" s="30">
        <v>26.0</v>
      </c>
      <c r="K167" s="30">
        <v>39.8</v>
      </c>
      <c r="L167" s="30">
        <v>53.6</v>
      </c>
      <c r="M167" s="30">
        <v>91.81</v>
      </c>
      <c r="N167" s="30">
        <v>3.0</v>
      </c>
      <c r="O167" s="30" t="s">
        <v>139</v>
      </c>
      <c r="P167" s="30">
        <v>0.3</v>
      </c>
      <c r="Q167" s="30" t="s">
        <v>138</v>
      </c>
    </row>
    <row r="168" ht="15.75" customHeight="1">
      <c r="A168" s="30">
        <v>1.5299465E7</v>
      </c>
      <c r="B168" s="30">
        <v>200.0</v>
      </c>
      <c r="C168" s="30">
        <v>50.0</v>
      </c>
      <c r="D168" s="30">
        <v>50.0</v>
      </c>
      <c r="E168" s="30">
        <v>300.0</v>
      </c>
      <c r="F168" s="30" t="s">
        <v>112</v>
      </c>
      <c r="G168" s="30">
        <v>581.18</v>
      </c>
      <c r="H168" s="30">
        <v>496.82</v>
      </c>
      <c r="I168" s="30" t="s">
        <v>110</v>
      </c>
      <c r="J168" s="30">
        <v>30.0</v>
      </c>
      <c r="K168" s="30">
        <v>46.7</v>
      </c>
      <c r="L168" s="30">
        <v>46.4</v>
      </c>
      <c r="M168" s="30">
        <v>93.5</v>
      </c>
      <c r="N168" s="30">
        <v>3.0</v>
      </c>
      <c r="O168" s="30" t="s">
        <v>139</v>
      </c>
      <c r="P168" s="30">
        <v>0.3</v>
      </c>
      <c r="Q168" s="30" t="s">
        <v>138</v>
      </c>
    </row>
    <row r="169" ht="15.75" customHeight="1">
      <c r="A169" s="30">
        <v>9.178087E7</v>
      </c>
      <c r="B169" s="30">
        <v>100.0</v>
      </c>
      <c r="C169" s="30">
        <v>0.0</v>
      </c>
      <c r="D169" s="30">
        <v>75.0</v>
      </c>
      <c r="E169" s="30">
        <v>175.0</v>
      </c>
      <c r="F169" s="30" t="s">
        <v>112</v>
      </c>
      <c r="G169" s="30">
        <v>524.77</v>
      </c>
      <c r="H169" s="30">
        <v>419.84</v>
      </c>
      <c r="I169" s="30" t="s">
        <v>110</v>
      </c>
      <c r="J169" s="30">
        <v>9.0</v>
      </c>
      <c r="K169" s="30">
        <v>81.8</v>
      </c>
      <c r="L169" s="30">
        <v>48.5</v>
      </c>
      <c r="M169" s="30">
        <v>111.43</v>
      </c>
      <c r="N169" s="30">
        <v>3.0</v>
      </c>
      <c r="O169" s="30" t="s">
        <v>139</v>
      </c>
      <c r="P169" s="30">
        <v>0.3</v>
      </c>
      <c r="Q169" s="30" t="s">
        <v>138</v>
      </c>
    </row>
    <row r="170" ht="15.75" customHeight="1">
      <c r="A170" s="30">
        <v>1.643583E7</v>
      </c>
      <c r="B170" s="30">
        <v>100.0</v>
      </c>
      <c r="C170" s="30">
        <v>50.0</v>
      </c>
      <c r="D170" s="30">
        <v>75.0</v>
      </c>
      <c r="E170" s="30">
        <v>225.0</v>
      </c>
      <c r="F170" s="30" t="s">
        <v>112</v>
      </c>
      <c r="G170" s="30">
        <v>446.05</v>
      </c>
      <c r="H170" s="30">
        <v>357.63</v>
      </c>
      <c r="I170" s="30" t="s">
        <v>112</v>
      </c>
      <c r="J170" s="30">
        <v>15.0</v>
      </c>
      <c r="K170" s="30">
        <v>46.9</v>
      </c>
      <c r="L170" s="30">
        <v>28.4</v>
      </c>
      <c r="M170" s="30">
        <v>76.06</v>
      </c>
      <c r="N170" s="30">
        <v>3.0</v>
      </c>
      <c r="O170" s="30" t="s">
        <v>137</v>
      </c>
      <c r="P170" s="30">
        <v>0.4</v>
      </c>
      <c r="Q170" s="30" t="s">
        <v>138</v>
      </c>
    </row>
    <row r="171" ht="15.75" customHeight="1">
      <c r="A171" s="30">
        <v>9.0778298E7</v>
      </c>
      <c r="B171" s="30">
        <v>100.0</v>
      </c>
      <c r="C171" s="30">
        <v>0.0</v>
      </c>
      <c r="D171" s="30">
        <v>50.0</v>
      </c>
      <c r="E171" s="30">
        <v>150.0</v>
      </c>
      <c r="F171" s="30" t="s">
        <v>112</v>
      </c>
      <c r="G171" s="30">
        <v>535.17</v>
      </c>
      <c r="H171" s="30">
        <v>419.62</v>
      </c>
      <c r="I171" s="30" t="s">
        <v>110</v>
      </c>
      <c r="J171" s="30">
        <v>43.0</v>
      </c>
      <c r="K171" s="30">
        <v>62.3</v>
      </c>
      <c r="L171" s="30">
        <v>59.6</v>
      </c>
      <c r="M171" s="30">
        <v>81.14</v>
      </c>
      <c r="N171" s="30">
        <v>3.0</v>
      </c>
      <c r="O171" s="30" t="s">
        <v>139</v>
      </c>
      <c r="P171" s="30">
        <v>0.3</v>
      </c>
      <c r="Q171" s="30" t="s">
        <v>138</v>
      </c>
    </row>
    <row r="172" ht="15.75" customHeight="1">
      <c r="A172" s="30">
        <v>4.3885861E7</v>
      </c>
      <c r="B172" s="30">
        <v>200.0</v>
      </c>
      <c r="C172" s="30">
        <v>0.0</v>
      </c>
      <c r="D172" s="30">
        <v>50.0</v>
      </c>
      <c r="E172" s="30">
        <v>250.0</v>
      </c>
      <c r="F172" s="30" t="s">
        <v>112</v>
      </c>
      <c r="G172" s="30">
        <v>454.83</v>
      </c>
      <c r="H172" s="30">
        <v>372.9</v>
      </c>
      <c r="I172" s="30" t="s">
        <v>112</v>
      </c>
      <c r="J172" s="30">
        <v>44.0</v>
      </c>
      <c r="K172" s="30">
        <v>80.0</v>
      </c>
      <c r="L172" s="30">
        <v>46.1</v>
      </c>
      <c r="M172" s="30">
        <v>90.18</v>
      </c>
      <c r="N172" s="30">
        <v>6.0</v>
      </c>
      <c r="O172" s="30" t="s">
        <v>137</v>
      </c>
      <c r="P172" s="30">
        <v>0.4</v>
      </c>
      <c r="Q172" s="30" t="s">
        <v>138</v>
      </c>
    </row>
    <row r="173" ht="15.75" customHeight="1">
      <c r="A173" s="30">
        <v>1.8968375E7</v>
      </c>
      <c r="B173" s="30">
        <v>200.0</v>
      </c>
      <c r="C173" s="30">
        <v>50.0</v>
      </c>
      <c r="D173" s="30">
        <v>50.0</v>
      </c>
      <c r="E173" s="30">
        <v>300.0</v>
      </c>
      <c r="F173" s="30" t="s">
        <v>112</v>
      </c>
      <c r="G173" s="30">
        <v>503.81</v>
      </c>
      <c r="H173" s="30">
        <v>422.29</v>
      </c>
      <c r="I173" s="30" t="s">
        <v>110</v>
      </c>
      <c r="J173" s="30">
        <v>9.0</v>
      </c>
      <c r="K173" s="30">
        <v>55.2</v>
      </c>
      <c r="L173" s="30">
        <v>37.0</v>
      </c>
      <c r="M173" s="30">
        <v>102.77</v>
      </c>
      <c r="N173" s="30">
        <v>3.0</v>
      </c>
      <c r="O173" s="30" t="s">
        <v>137</v>
      </c>
      <c r="P173" s="30">
        <v>0.4</v>
      </c>
      <c r="Q173" s="30" t="s">
        <v>138</v>
      </c>
    </row>
    <row r="174" ht="15.75" customHeight="1">
      <c r="A174" s="30">
        <v>2.6586289E7</v>
      </c>
      <c r="B174" s="30">
        <v>100.0</v>
      </c>
      <c r="C174" s="30">
        <v>50.0</v>
      </c>
      <c r="D174" s="30">
        <v>50.0</v>
      </c>
      <c r="E174" s="30">
        <v>200.0</v>
      </c>
      <c r="F174" s="30" t="s">
        <v>112</v>
      </c>
      <c r="G174" s="30">
        <v>466.6</v>
      </c>
      <c r="H174" s="30">
        <v>386.62</v>
      </c>
      <c r="I174" s="30" t="s">
        <v>112</v>
      </c>
      <c r="J174" s="30">
        <v>27.0</v>
      </c>
      <c r="K174" s="30">
        <v>67.6</v>
      </c>
      <c r="L174" s="30">
        <v>48.8</v>
      </c>
      <c r="M174" s="30">
        <v>85.39</v>
      </c>
      <c r="N174" s="30">
        <v>6.0</v>
      </c>
      <c r="O174" s="30" t="s">
        <v>139</v>
      </c>
      <c r="P174" s="30">
        <v>0.3</v>
      </c>
      <c r="Q174" s="30" t="s">
        <v>138</v>
      </c>
    </row>
    <row r="175" ht="15.75" customHeight="1">
      <c r="A175" s="30">
        <v>4.5244106E7</v>
      </c>
      <c r="B175" s="30">
        <v>100.0</v>
      </c>
      <c r="C175" s="30">
        <v>0.0</v>
      </c>
      <c r="D175" s="30">
        <v>75.0</v>
      </c>
      <c r="E175" s="30">
        <v>175.0</v>
      </c>
      <c r="F175" s="30" t="s">
        <v>112</v>
      </c>
      <c r="G175" s="30">
        <v>591.53</v>
      </c>
      <c r="H175" s="30">
        <v>424.92</v>
      </c>
      <c r="I175" s="30" t="s">
        <v>110</v>
      </c>
      <c r="J175" s="30">
        <v>35.0</v>
      </c>
      <c r="K175" s="30">
        <v>59.5</v>
      </c>
      <c r="L175" s="30">
        <v>36.7</v>
      </c>
      <c r="M175" s="30">
        <v>101.12</v>
      </c>
      <c r="N175" s="30">
        <v>6.0</v>
      </c>
      <c r="O175" s="30" t="s">
        <v>137</v>
      </c>
      <c r="P175" s="30">
        <v>0.4</v>
      </c>
      <c r="Q175" s="30" t="s">
        <v>138</v>
      </c>
    </row>
    <row r="176" ht="15.75" customHeight="1">
      <c r="A176" s="30">
        <v>1.2679148E7</v>
      </c>
      <c r="B176" s="30">
        <v>200.0</v>
      </c>
      <c r="C176" s="30">
        <v>0.0</v>
      </c>
      <c r="D176" s="30">
        <v>50.0</v>
      </c>
      <c r="E176" s="30">
        <v>250.0</v>
      </c>
      <c r="F176" s="30" t="s">
        <v>112</v>
      </c>
      <c r="G176" s="30">
        <v>532.98</v>
      </c>
      <c r="H176" s="30">
        <v>448.09</v>
      </c>
      <c r="I176" s="30" t="s">
        <v>110</v>
      </c>
      <c r="J176" s="30">
        <v>20.0</v>
      </c>
      <c r="K176" s="30">
        <v>58.2</v>
      </c>
      <c r="L176" s="30">
        <v>53.8</v>
      </c>
      <c r="M176" s="30">
        <v>75.06</v>
      </c>
      <c r="N176" s="30">
        <v>6.0</v>
      </c>
      <c r="O176" s="30" t="s">
        <v>139</v>
      </c>
      <c r="P176" s="30">
        <v>0.3</v>
      </c>
      <c r="Q176" s="30" t="s">
        <v>138</v>
      </c>
    </row>
    <row r="177" ht="15.75" customHeight="1">
      <c r="A177" s="30">
        <v>2.5317834E7</v>
      </c>
      <c r="B177" s="30">
        <v>100.0</v>
      </c>
      <c r="C177" s="30">
        <v>0.0</v>
      </c>
      <c r="D177" s="30">
        <v>75.0</v>
      </c>
      <c r="E177" s="30">
        <v>175.0</v>
      </c>
      <c r="F177" s="30" t="s">
        <v>112</v>
      </c>
      <c r="G177" s="30">
        <v>568.41</v>
      </c>
      <c r="H177" s="30">
        <v>450.38</v>
      </c>
      <c r="I177" s="30" t="s">
        <v>110</v>
      </c>
      <c r="J177" s="30">
        <v>10.0</v>
      </c>
      <c r="K177" s="30">
        <v>36.1</v>
      </c>
      <c r="L177" s="30">
        <v>50.8</v>
      </c>
      <c r="M177" s="30">
        <v>109.59</v>
      </c>
      <c r="N177" s="30">
        <v>3.0</v>
      </c>
      <c r="O177" s="30" t="s">
        <v>139</v>
      </c>
      <c r="P177" s="30">
        <v>0.3</v>
      </c>
      <c r="Q177" s="30" t="s">
        <v>138</v>
      </c>
    </row>
    <row r="178" ht="15.75" customHeight="1">
      <c r="A178" s="30">
        <v>6.2866526E7</v>
      </c>
      <c r="B178" s="30">
        <v>100.0</v>
      </c>
      <c r="C178" s="30">
        <v>50.0</v>
      </c>
      <c r="D178" s="30">
        <v>75.0</v>
      </c>
      <c r="E178" s="30">
        <v>225.0</v>
      </c>
      <c r="F178" s="30" t="s">
        <v>112</v>
      </c>
      <c r="G178" s="30">
        <v>407.23</v>
      </c>
      <c r="H178" s="30">
        <v>334.34</v>
      </c>
      <c r="I178" s="30" t="s">
        <v>112</v>
      </c>
      <c r="J178" s="30">
        <v>49.0</v>
      </c>
      <c r="K178" s="30">
        <v>68.5</v>
      </c>
      <c r="L178" s="30">
        <v>42.7</v>
      </c>
      <c r="M178" s="30">
        <v>82.17</v>
      </c>
      <c r="N178" s="30">
        <v>3.0</v>
      </c>
      <c r="O178" s="30" t="s">
        <v>137</v>
      </c>
      <c r="P178" s="30">
        <v>0.4</v>
      </c>
      <c r="Q178" s="30" t="s">
        <v>138</v>
      </c>
    </row>
    <row r="179" ht="15.75" customHeight="1">
      <c r="A179" s="30">
        <v>5.05795E7</v>
      </c>
      <c r="B179" s="30">
        <v>100.0</v>
      </c>
      <c r="C179" s="30">
        <v>0.0</v>
      </c>
      <c r="D179" s="30">
        <v>75.0</v>
      </c>
      <c r="E179" s="30">
        <v>175.0</v>
      </c>
      <c r="F179" s="30" t="s">
        <v>112</v>
      </c>
      <c r="G179" s="30">
        <v>588.48</v>
      </c>
      <c r="H179" s="30">
        <v>464.43</v>
      </c>
      <c r="I179" s="30" t="s">
        <v>110</v>
      </c>
      <c r="J179" s="30">
        <v>10.0</v>
      </c>
      <c r="K179" s="30">
        <v>65.5</v>
      </c>
      <c r="L179" s="30">
        <v>35.7</v>
      </c>
      <c r="M179" s="30">
        <v>92.86</v>
      </c>
      <c r="N179" s="30">
        <v>3.0</v>
      </c>
      <c r="O179" s="30" t="s">
        <v>139</v>
      </c>
      <c r="P179" s="30">
        <v>0.3</v>
      </c>
      <c r="Q179" s="30" t="s">
        <v>138</v>
      </c>
    </row>
    <row r="180" ht="15.75" customHeight="1">
      <c r="A180" s="30">
        <v>4.7520425E7</v>
      </c>
      <c r="B180" s="30">
        <v>200.0</v>
      </c>
      <c r="C180" s="30">
        <v>0.0</v>
      </c>
      <c r="D180" s="30">
        <v>75.0</v>
      </c>
      <c r="E180" s="30">
        <v>275.0</v>
      </c>
      <c r="F180" s="30" t="s">
        <v>112</v>
      </c>
      <c r="G180" s="30">
        <v>507.95</v>
      </c>
      <c r="H180" s="30">
        <v>438.06</v>
      </c>
      <c r="I180" s="30" t="s">
        <v>110</v>
      </c>
      <c r="J180" s="30">
        <v>34.0</v>
      </c>
      <c r="K180" s="30">
        <v>81.8</v>
      </c>
      <c r="L180" s="30">
        <v>32.3</v>
      </c>
      <c r="M180" s="30">
        <v>116.88</v>
      </c>
      <c r="N180" s="30">
        <v>6.0</v>
      </c>
      <c r="O180" s="30" t="s">
        <v>139</v>
      </c>
      <c r="P180" s="30">
        <v>0.3</v>
      </c>
      <c r="Q180" s="30" t="s">
        <v>138</v>
      </c>
    </row>
    <row r="181" ht="15.75" customHeight="1">
      <c r="A181" s="30">
        <v>5.4350128E7</v>
      </c>
      <c r="B181" s="30">
        <v>200.0</v>
      </c>
      <c r="C181" s="30">
        <v>50.0</v>
      </c>
      <c r="D181" s="30">
        <v>75.0</v>
      </c>
      <c r="E181" s="30">
        <v>325.0</v>
      </c>
      <c r="F181" s="30" t="s">
        <v>112</v>
      </c>
      <c r="G181" s="30">
        <v>404.58</v>
      </c>
      <c r="H181" s="30">
        <v>372.75</v>
      </c>
      <c r="I181" s="30" t="s">
        <v>112</v>
      </c>
      <c r="J181" s="30">
        <v>39.0</v>
      </c>
      <c r="K181" s="30">
        <v>78.5</v>
      </c>
      <c r="L181" s="30">
        <v>35.7</v>
      </c>
      <c r="M181" s="30">
        <v>78.64</v>
      </c>
      <c r="N181" s="30">
        <v>3.0</v>
      </c>
      <c r="O181" s="30" t="s">
        <v>137</v>
      </c>
      <c r="P181" s="30">
        <v>0.4</v>
      </c>
      <c r="Q181" s="30" t="s">
        <v>138</v>
      </c>
    </row>
    <row r="182" ht="15.75" customHeight="1">
      <c r="A182" s="30">
        <v>4.6030101E7</v>
      </c>
      <c r="B182" s="30">
        <v>530.0</v>
      </c>
      <c r="C182" s="30">
        <v>150.0</v>
      </c>
      <c r="D182" s="30">
        <v>200.0</v>
      </c>
      <c r="E182" s="30">
        <v>880.0</v>
      </c>
      <c r="F182" s="30" t="s">
        <v>92</v>
      </c>
      <c r="G182" s="30">
        <v>488.41</v>
      </c>
      <c r="H182" s="30">
        <v>684.21</v>
      </c>
      <c r="I182" s="30" t="s">
        <v>100</v>
      </c>
      <c r="J182" s="30">
        <v>5.0</v>
      </c>
      <c r="K182" s="30">
        <v>8.7</v>
      </c>
      <c r="L182" s="30">
        <v>9.0</v>
      </c>
      <c r="M182" s="30">
        <v>31.98</v>
      </c>
      <c r="N182" s="30">
        <v>18.0</v>
      </c>
      <c r="O182" s="30" t="s">
        <v>134</v>
      </c>
      <c r="P182" s="30">
        <v>0.5</v>
      </c>
      <c r="Q182" s="30" t="s">
        <v>140</v>
      </c>
    </row>
    <row r="183" ht="15.75" customHeight="1">
      <c r="A183" s="30">
        <v>4.2809437E7</v>
      </c>
      <c r="B183" s="30">
        <v>150.0</v>
      </c>
      <c r="C183" s="30">
        <v>50.0</v>
      </c>
      <c r="D183" s="30">
        <v>50.0</v>
      </c>
      <c r="E183" s="30">
        <v>250.0</v>
      </c>
      <c r="F183" s="30" t="s">
        <v>112</v>
      </c>
      <c r="G183" s="30">
        <v>836.75</v>
      </c>
      <c r="H183" s="30">
        <v>660.73</v>
      </c>
      <c r="I183" s="30" t="s">
        <v>100</v>
      </c>
      <c r="J183" s="30">
        <v>12.0</v>
      </c>
      <c r="K183" s="30">
        <v>46.4</v>
      </c>
      <c r="L183" s="30">
        <v>49.1</v>
      </c>
      <c r="M183" s="30">
        <v>84.76</v>
      </c>
      <c r="N183" s="30">
        <v>1.0</v>
      </c>
      <c r="O183" s="30" t="s">
        <v>139</v>
      </c>
      <c r="P183" s="30">
        <v>0.3</v>
      </c>
      <c r="Q183" s="30" t="s">
        <v>140</v>
      </c>
    </row>
    <row r="184" ht="15.75" customHeight="1">
      <c r="A184" s="30">
        <v>9.5899077E7</v>
      </c>
      <c r="B184" s="30">
        <v>530.0</v>
      </c>
      <c r="C184" s="30">
        <v>100.0</v>
      </c>
      <c r="D184" s="30">
        <v>175.0</v>
      </c>
      <c r="E184" s="30">
        <v>805.0</v>
      </c>
      <c r="F184" s="30" t="s">
        <v>94</v>
      </c>
      <c r="G184" s="30">
        <v>490.47</v>
      </c>
      <c r="H184" s="30">
        <v>647.73</v>
      </c>
      <c r="I184" s="30" t="s">
        <v>102</v>
      </c>
      <c r="J184" s="30">
        <v>22.0</v>
      </c>
      <c r="K184" s="30">
        <v>9.3</v>
      </c>
      <c r="L184" s="30">
        <v>8.8</v>
      </c>
      <c r="M184" s="30">
        <v>44.15</v>
      </c>
      <c r="N184" s="30">
        <v>18.0</v>
      </c>
      <c r="O184" s="30" t="s">
        <v>134</v>
      </c>
      <c r="P184" s="30">
        <v>0.5</v>
      </c>
      <c r="Q184" s="30" t="s">
        <v>140</v>
      </c>
    </row>
    <row r="185" ht="15.75" customHeight="1">
      <c r="A185" s="30">
        <v>6.9492474E7</v>
      </c>
      <c r="B185" s="30">
        <v>450.0</v>
      </c>
      <c r="C185" s="30">
        <v>150.0</v>
      </c>
      <c r="D185" s="30">
        <v>200.0</v>
      </c>
      <c r="E185" s="30">
        <v>800.0</v>
      </c>
      <c r="F185" s="30" t="s">
        <v>94</v>
      </c>
      <c r="G185" s="30">
        <v>407.97</v>
      </c>
      <c r="H185" s="30">
        <v>643.19</v>
      </c>
      <c r="I185" s="30" t="s">
        <v>102</v>
      </c>
      <c r="J185" s="30">
        <v>23.0</v>
      </c>
      <c r="K185" s="30">
        <v>-5.7</v>
      </c>
      <c r="L185" s="30">
        <v>9.3</v>
      </c>
      <c r="M185" s="30">
        <v>36.26</v>
      </c>
      <c r="N185" s="30">
        <v>30.0</v>
      </c>
      <c r="O185" s="30" t="s">
        <v>133</v>
      </c>
      <c r="P185" s="30">
        <v>0.6</v>
      </c>
      <c r="Q185" s="30" t="s">
        <v>140</v>
      </c>
    </row>
    <row r="186" ht="15.75" customHeight="1">
      <c r="A186" s="30">
        <v>4.8855512E7</v>
      </c>
      <c r="B186" s="30">
        <v>450.0</v>
      </c>
      <c r="C186" s="30">
        <v>150.0</v>
      </c>
      <c r="D186" s="30">
        <v>200.0</v>
      </c>
      <c r="E186" s="30">
        <v>800.0</v>
      </c>
      <c r="F186" s="30" t="s">
        <v>94</v>
      </c>
      <c r="G186" s="30">
        <v>414.55</v>
      </c>
      <c r="H186" s="30">
        <v>645.82</v>
      </c>
      <c r="I186" s="30" t="s">
        <v>102</v>
      </c>
      <c r="J186" s="30">
        <v>39.0</v>
      </c>
      <c r="K186" s="30">
        <v>9.9</v>
      </c>
      <c r="L186" s="30">
        <v>5.4</v>
      </c>
      <c r="M186" s="30">
        <v>37.38</v>
      </c>
      <c r="N186" s="30">
        <v>18.0</v>
      </c>
      <c r="O186" s="30" t="s">
        <v>133</v>
      </c>
      <c r="P186" s="30">
        <v>0.6</v>
      </c>
      <c r="Q186" s="30" t="s">
        <v>140</v>
      </c>
    </row>
    <row r="187" ht="15.75" customHeight="1">
      <c r="A187" s="30">
        <v>4.3678828E7</v>
      </c>
      <c r="B187" s="30">
        <v>530.0</v>
      </c>
      <c r="C187" s="30">
        <v>150.0</v>
      </c>
      <c r="D187" s="30">
        <v>200.0</v>
      </c>
      <c r="E187" s="30">
        <v>880.0</v>
      </c>
      <c r="F187" s="30" t="s">
        <v>92</v>
      </c>
      <c r="G187" s="30">
        <v>384.33</v>
      </c>
      <c r="H187" s="30">
        <v>681.73</v>
      </c>
      <c r="I187" s="30" t="s">
        <v>100</v>
      </c>
      <c r="J187" s="30">
        <v>43.0</v>
      </c>
      <c r="K187" s="30">
        <v>-8.0</v>
      </c>
      <c r="L187" s="30">
        <v>9.8</v>
      </c>
      <c r="M187" s="30">
        <v>21.56</v>
      </c>
      <c r="N187" s="30">
        <v>30.0</v>
      </c>
      <c r="O187" s="30" t="s">
        <v>133</v>
      </c>
      <c r="P187" s="30">
        <v>0.6</v>
      </c>
      <c r="Q187" s="30" t="s">
        <v>140</v>
      </c>
    </row>
    <row r="188" ht="15.75" customHeight="1">
      <c r="A188" s="30">
        <v>5.6070158E7</v>
      </c>
      <c r="B188" s="30">
        <v>450.0</v>
      </c>
      <c r="C188" s="30">
        <v>150.0</v>
      </c>
      <c r="D188" s="30">
        <v>200.0</v>
      </c>
      <c r="E188" s="30">
        <v>800.0</v>
      </c>
      <c r="F188" s="30" t="s">
        <v>94</v>
      </c>
      <c r="G188" s="30">
        <v>417.47</v>
      </c>
      <c r="H188" s="30">
        <v>646.99</v>
      </c>
      <c r="I188" s="30" t="s">
        <v>102</v>
      </c>
      <c r="J188" s="30">
        <v>39.0</v>
      </c>
      <c r="K188" s="30">
        <v>0.5</v>
      </c>
      <c r="L188" s="30">
        <v>8.0</v>
      </c>
      <c r="M188" s="30">
        <v>23.27</v>
      </c>
      <c r="N188" s="30">
        <v>30.0</v>
      </c>
      <c r="O188" s="30" t="s">
        <v>133</v>
      </c>
      <c r="P188" s="30">
        <v>0.6</v>
      </c>
      <c r="Q188" s="30" t="s">
        <v>140</v>
      </c>
    </row>
    <row r="189" ht="15.75" customHeight="1">
      <c r="A189" s="30">
        <v>9.4093312E7</v>
      </c>
      <c r="B189" s="30">
        <v>530.0</v>
      </c>
      <c r="C189" s="30">
        <v>150.0</v>
      </c>
      <c r="D189" s="30">
        <v>200.0</v>
      </c>
      <c r="E189" s="30">
        <v>880.0</v>
      </c>
      <c r="F189" s="30" t="s">
        <v>92</v>
      </c>
      <c r="G189" s="30">
        <v>412.42</v>
      </c>
      <c r="H189" s="30">
        <v>692.97</v>
      </c>
      <c r="I189" s="30" t="s">
        <v>100</v>
      </c>
      <c r="J189" s="30">
        <v>25.0</v>
      </c>
      <c r="K189" s="30">
        <v>-6.5</v>
      </c>
      <c r="L189" s="30">
        <v>7.7</v>
      </c>
      <c r="M189" s="30">
        <v>44.1</v>
      </c>
      <c r="N189" s="30">
        <v>30.0</v>
      </c>
      <c r="O189" s="30" t="s">
        <v>133</v>
      </c>
      <c r="P189" s="30">
        <v>0.6</v>
      </c>
      <c r="Q189" s="30" t="s">
        <v>140</v>
      </c>
    </row>
    <row r="190" ht="15.75" customHeight="1">
      <c r="A190" s="30">
        <v>7.8437096E7</v>
      </c>
      <c r="B190" s="30">
        <v>450.0</v>
      </c>
      <c r="C190" s="30">
        <v>100.0</v>
      </c>
      <c r="D190" s="30">
        <v>200.0</v>
      </c>
      <c r="E190" s="30">
        <v>750.0</v>
      </c>
      <c r="F190" s="30" t="s">
        <v>96</v>
      </c>
      <c r="G190" s="30">
        <v>351.82</v>
      </c>
      <c r="H190" s="30">
        <v>550.91</v>
      </c>
      <c r="I190" s="30" t="s">
        <v>104</v>
      </c>
      <c r="J190" s="30">
        <v>49.0</v>
      </c>
      <c r="K190" s="30">
        <v>3.6</v>
      </c>
      <c r="L190" s="30">
        <v>6.3</v>
      </c>
      <c r="M190" s="30">
        <v>35.47</v>
      </c>
      <c r="N190" s="30">
        <v>18.0</v>
      </c>
      <c r="O190" s="30" t="s">
        <v>134</v>
      </c>
      <c r="P190" s="30">
        <v>0.5</v>
      </c>
      <c r="Q190" s="30" t="s">
        <v>140</v>
      </c>
    </row>
    <row r="191" ht="15.75" customHeight="1">
      <c r="A191" s="30">
        <v>2.8104874E7</v>
      </c>
      <c r="B191" s="30">
        <v>150.0</v>
      </c>
      <c r="C191" s="30">
        <v>0.0</v>
      </c>
      <c r="D191" s="30">
        <v>50.0</v>
      </c>
      <c r="E191" s="30">
        <v>200.0</v>
      </c>
      <c r="F191" s="30" t="s">
        <v>112</v>
      </c>
      <c r="G191" s="30">
        <v>845.44</v>
      </c>
      <c r="H191" s="30">
        <v>651.81</v>
      </c>
      <c r="I191" s="30" t="s">
        <v>100</v>
      </c>
      <c r="J191" s="30">
        <v>30.0</v>
      </c>
      <c r="K191" s="30">
        <v>40.9</v>
      </c>
      <c r="L191" s="30">
        <v>37.4</v>
      </c>
      <c r="M191" s="30">
        <v>67.98</v>
      </c>
      <c r="N191" s="30">
        <v>3.0</v>
      </c>
      <c r="O191" s="30" t="s">
        <v>139</v>
      </c>
      <c r="P191" s="30">
        <v>0.3</v>
      </c>
      <c r="Q191" s="30" t="s">
        <v>140</v>
      </c>
    </row>
    <row r="192" ht="15.75" customHeight="1">
      <c r="A192" s="30">
        <v>6.5417392E7</v>
      </c>
      <c r="B192" s="30">
        <v>530.0</v>
      </c>
      <c r="C192" s="30">
        <v>150.0</v>
      </c>
      <c r="D192" s="30">
        <v>200.0</v>
      </c>
      <c r="E192" s="30">
        <v>880.0</v>
      </c>
      <c r="F192" s="30" t="s">
        <v>92</v>
      </c>
      <c r="G192" s="30">
        <v>418.92</v>
      </c>
      <c r="H192" s="30">
        <v>695.57</v>
      </c>
      <c r="I192" s="30" t="s">
        <v>100</v>
      </c>
      <c r="J192" s="30">
        <v>46.0</v>
      </c>
      <c r="K192" s="30">
        <v>4.7</v>
      </c>
      <c r="L192" s="30">
        <v>8.3</v>
      </c>
      <c r="M192" s="30">
        <v>29.4</v>
      </c>
      <c r="N192" s="30">
        <v>18.0</v>
      </c>
      <c r="O192" s="30" t="s">
        <v>133</v>
      </c>
      <c r="P192" s="30">
        <v>0.6</v>
      </c>
      <c r="Q192" s="30" t="s">
        <v>140</v>
      </c>
    </row>
    <row r="193" ht="15.75" customHeight="1">
      <c r="A193" s="30">
        <v>3.0185028E7</v>
      </c>
      <c r="B193" s="30">
        <v>100.0</v>
      </c>
      <c r="C193" s="30">
        <v>50.0</v>
      </c>
      <c r="D193" s="30">
        <v>50.0</v>
      </c>
      <c r="E193" s="30">
        <v>200.0</v>
      </c>
      <c r="F193" s="30" t="s">
        <v>112</v>
      </c>
      <c r="G193" s="30">
        <v>827.94</v>
      </c>
      <c r="H193" s="30">
        <v>639.56</v>
      </c>
      <c r="I193" s="30" t="s">
        <v>102</v>
      </c>
      <c r="J193" s="30">
        <v>44.0</v>
      </c>
      <c r="K193" s="30">
        <v>53.2</v>
      </c>
      <c r="L193" s="30">
        <v>48.9</v>
      </c>
      <c r="M193" s="30">
        <v>84.27</v>
      </c>
      <c r="N193" s="30">
        <v>1.0</v>
      </c>
      <c r="O193" s="30" t="s">
        <v>139</v>
      </c>
      <c r="P193" s="30">
        <v>0.3</v>
      </c>
      <c r="Q193" s="30" t="s">
        <v>140</v>
      </c>
    </row>
    <row r="194" ht="15.75" customHeight="1">
      <c r="A194" s="30">
        <v>8.6481323E7</v>
      </c>
      <c r="B194" s="30">
        <v>450.0</v>
      </c>
      <c r="C194" s="30">
        <v>100.0</v>
      </c>
      <c r="D194" s="30">
        <v>200.0</v>
      </c>
      <c r="E194" s="30">
        <v>750.0</v>
      </c>
      <c r="F194" s="30" t="s">
        <v>96</v>
      </c>
      <c r="G194" s="30">
        <v>360.0</v>
      </c>
      <c r="H194" s="30">
        <v>555.0</v>
      </c>
      <c r="I194" s="30" t="s">
        <v>104</v>
      </c>
      <c r="J194" s="30">
        <v>49.0</v>
      </c>
      <c r="K194" s="30">
        <v>-2.3</v>
      </c>
      <c r="L194" s="30">
        <v>8.2</v>
      </c>
      <c r="M194" s="30">
        <v>25.67</v>
      </c>
      <c r="N194" s="30">
        <v>18.0</v>
      </c>
      <c r="O194" s="30" t="s">
        <v>134</v>
      </c>
      <c r="P194" s="30">
        <v>0.5</v>
      </c>
      <c r="Q194" s="30" t="s">
        <v>140</v>
      </c>
    </row>
    <row r="195" ht="15.75" customHeight="1">
      <c r="A195" s="30">
        <v>7.207142E7</v>
      </c>
      <c r="B195" s="30">
        <v>530.0</v>
      </c>
      <c r="C195" s="30">
        <v>150.0</v>
      </c>
      <c r="D195" s="30">
        <v>175.0</v>
      </c>
      <c r="E195" s="30">
        <v>855.0</v>
      </c>
      <c r="F195" s="30" t="s">
        <v>92</v>
      </c>
      <c r="G195" s="30">
        <v>457.45</v>
      </c>
      <c r="H195" s="30">
        <v>695.98</v>
      </c>
      <c r="I195" s="30" t="s">
        <v>100</v>
      </c>
      <c r="J195" s="30">
        <v>28.0</v>
      </c>
      <c r="K195" s="30">
        <v>-1.1</v>
      </c>
      <c r="L195" s="30">
        <v>5.3</v>
      </c>
      <c r="M195" s="30">
        <v>20.95</v>
      </c>
      <c r="N195" s="30">
        <v>30.0</v>
      </c>
      <c r="O195" s="30" t="s">
        <v>133</v>
      </c>
      <c r="P195" s="30">
        <v>0.6</v>
      </c>
      <c r="Q195" s="30" t="s">
        <v>140</v>
      </c>
    </row>
    <row r="196" ht="15.75" customHeight="1">
      <c r="A196" s="30">
        <v>8.6117319E7</v>
      </c>
      <c r="B196" s="30">
        <v>450.0</v>
      </c>
      <c r="C196" s="30">
        <v>100.0</v>
      </c>
      <c r="D196" s="30">
        <v>200.0</v>
      </c>
      <c r="E196" s="30">
        <v>750.0</v>
      </c>
      <c r="F196" s="30" t="s">
        <v>96</v>
      </c>
      <c r="G196" s="30">
        <v>495.61</v>
      </c>
      <c r="H196" s="30">
        <v>648.24</v>
      </c>
      <c r="I196" s="30" t="s">
        <v>102</v>
      </c>
      <c r="J196" s="30">
        <v>11.0</v>
      </c>
      <c r="K196" s="30">
        <v>4.8</v>
      </c>
      <c r="L196" s="30">
        <v>7.5</v>
      </c>
      <c r="M196" s="30">
        <v>27.41</v>
      </c>
      <c r="N196" s="30">
        <v>30.0</v>
      </c>
      <c r="O196" s="30" t="s">
        <v>133</v>
      </c>
      <c r="P196" s="30">
        <v>0.6</v>
      </c>
      <c r="Q196" s="30" t="s">
        <v>140</v>
      </c>
    </row>
    <row r="197" ht="15.75" customHeight="1">
      <c r="A197" s="30">
        <v>5.7426534E7</v>
      </c>
      <c r="B197" s="30">
        <v>100.0</v>
      </c>
      <c r="C197" s="30">
        <v>0.0</v>
      </c>
      <c r="D197" s="30">
        <v>75.0</v>
      </c>
      <c r="E197" s="30">
        <v>175.0</v>
      </c>
      <c r="F197" s="30" t="s">
        <v>112</v>
      </c>
      <c r="G197" s="30">
        <v>802.09</v>
      </c>
      <c r="H197" s="30">
        <v>613.97</v>
      </c>
      <c r="I197" s="30" t="s">
        <v>102</v>
      </c>
      <c r="J197" s="30">
        <v>36.0</v>
      </c>
      <c r="K197" s="30">
        <v>42.0</v>
      </c>
      <c r="L197" s="30">
        <v>43.2</v>
      </c>
      <c r="M197" s="30">
        <v>82.93</v>
      </c>
      <c r="N197" s="30">
        <v>2.0</v>
      </c>
      <c r="O197" s="30" t="s">
        <v>139</v>
      </c>
      <c r="P197" s="30">
        <v>0.3</v>
      </c>
      <c r="Q197" s="30" t="s">
        <v>140</v>
      </c>
    </row>
    <row r="198" ht="15.75" customHeight="1">
      <c r="A198" s="30">
        <v>3.2694244E7</v>
      </c>
      <c r="B198" s="30">
        <v>100.0</v>
      </c>
      <c r="C198" s="30">
        <v>0.0</v>
      </c>
      <c r="D198" s="30">
        <v>75.0</v>
      </c>
      <c r="E198" s="30">
        <v>175.0</v>
      </c>
      <c r="F198" s="30" t="s">
        <v>112</v>
      </c>
      <c r="G198" s="30">
        <v>801.04</v>
      </c>
      <c r="H198" s="30">
        <v>613.23</v>
      </c>
      <c r="I198" s="30" t="s">
        <v>102</v>
      </c>
      <c r="J198" s="30">
        <v>40.0</v>
      </c>
      <c r="K198" s="30">
        <v>55.4</v>
      </c>
      <c r="L198" s="30">
        <v>42.5</v>
      </c>
      <c r="M198" s="30">
        <v>71.46</v>
      </c>
      <c r="N198" s="30">
        <v>2.0</v>
      </c>
      <c r="O198" s="30" t="s">
        <v>139</v>
      </c>
      <c r="P198" s="30">
        <v>0.3</v>
      </c>
      <c r="Q198" s="30" t="s">
        <v>140</v>
      </c>
    </row>
    <row r="199" ht="15.75" customHeight="1">
      <c r="A199" s="30">
        <v>4.8200458E7</v>
      </c>
      <c r="B199" s="30">
        <v>150.0</v>
      </c>
      <c r="C199" s="30">
        <v>0.0</v>
      </c>
      <c r="D199" s="30">
        <v>50.0</v>
      </c>
      <c r="E199" s="30">
        <v>200.0</v>
      </c>
      <c r="F199" s="30" t="s">
        <v>112</v>
      </c>
      <c r="G199" s="30">
        <v>879.87</v>
      </c>
      <c r="H199" s="30">
        <v>675.91</v>
      </c>
      <c r="I199" s="30" t="s">
        <v>100</v>
      </c>
      <c r="J199" s="30">
        <v>16.0</v>
      </c>
      <c r="K199" s="30">
        <v>59.2</v>
      </c>
      <c r="L199" s="30">
        <v>39.6</v>
      </c>
      <c r="M199" s="30">
        <v>86.87</v>
      </c>
      <c r="N199" s="30">
        <v>2.0</v>
      </c>
      <c r="O199" s="30" t="s">
        <v>139</v>
      </c>
      <c r="P199" s="30">
        <v>0.3</v>
      </c>
      <c r="Q199" s="30" t="s">
        <v>140</v>
      </c>
    </row>
    <row r="200" ht="15.75" customHeight="1">
      <c r="A200" s="30">
        <v>5.1897284E7</v>
      </c>
      <c r="B200" s="30">
        <v>530.0</v>
      </c>
      <c r="C200" s="30">
        <v>150.0</v>
      </c>
      <c r="D200" s="30">
        <v>175.0</v>
      </c>
      <c r="E200" s="30">
        <v>855.0</v>
      </c>
      <c r="F200" s="30" t="s">
        <v>92</v>
      </c>
      <c r="G200" s="30">
        <v>369.21</v>
      </c>
      <c r="H200" s="30">
        <v>660.69</v>
      </c>
      <c r="I200" s="30" t="s">
        <v>100</v>
      </c>
      <c r="J200" s="30">
        <v>21.0</v>
      </c>
      <c r="K200" s="30">
        <v>1.6</v>
      </c>
      <c r="L200" s="30">
        <v>10.2</v>
      </c>
      <c r="M200" s="30">
        <v>40.29</v>
      </c>
      <c r="N200" s="30">
        <v>24.0</v>
      </c>
      <c r="O200" s="30" t="s">
        <v>133</v>
      </c>
      <c r="P200" s="30">
        <v>0.6</v>
      </c>
      <c r="Q200" s="30" t="s">
        <v>140</v>
      </c>
    </row>
    <row r="201" ht="15.75" customHeight="1">
      <c r="A201" s="30">
        <v>6.8748485E7</v>
      </c>
      <c r="B201" s="30">
        <v>100.0</v>
      </c>
      <c r="C201" s="30">
        <v>0.0</v>
      </c>
      <c r="D201" s="30">
        <v>50.0</v>
      </c>
      <c r="E201" s="30">
        <v>150.0</v>
      </c>
      <c r="F201" s="30" t="s">
        <v>112</v>
      </c>
      <c r="G201" s="30">
        <v>894.31</v>
      </c>
      <c r="H201" s="30">
        <v>671.02</v>
      </c>
      <c r="I201" s="30" t="s">
        <v>100</v>
      </c>
      <c r="J201" s="30">
        <v>34.0</v>
      </c>
      <c r="K201" s="30">
        <v>47.5</v>
      </c>
      <c r="L201" s="30">
        <v>41.0</v>
      </c>
      <c r="M201" s="30">
        <v>71.66</v>
      </c>
      <c r="N201" s="30">
        <v>2.0</v>
      </c>
      <c r="O201" s="30" t="s">
        <v>139</v>
      </c>
      <c r="P201" s="30">
        <v>0.3</v>
      </c>
      <c r="Q201" s="30" t="s">
        <v>140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11.0"/>
    <col customWidth="1" min="23" max="26" width="8.71"/>
  </cols>
  <sheetData>
    <row r="1">
      <c r="A1" s="4" t="s">
        <v>141</v>
      </c>
      <c r="B1" s="4" t="s">
        <v>142</v>
      </c>
      <c r="C1" s="4" t="s">
        <v>143</v>
      </c>
      <c r="D1" s="4" t="s">
        <v>144</v>
      </c>
      <c r="E1" s="4" t="s">
        <v>145</v>
      </c>
      <c r="F1" s="4" t="s">
        <v>146</v>
      </c>
      <c r="G1" s="4" t="s">
        <v>147</v>
      </c>
      <c r="H1" s="4" t="s">
        <v>148</v>
      </c>
      <c r="I1" s="4" t="s">
        <v>149</v>
      </c>
      <c r="J1" s="4" t="s">
        <v>150</v>
      </c>
      <c r="K1" s="4" t="s">
        <v>151</v>
      </c>
      <c r="L1" s="4" t="s">
        <v>152</v>
      </c>
      <c r="M1" s="4" t="s">
        <v>153</v>
      </c>
      <c r="N1" s="4" t="s">
        <v>154</v>
      </c>
      <c r="O1" s="4" t="s">
        <v>155</v>
      </c>
      <c r="P1" s="4" t="s">
        <v>156</v>
      </c>
      <c r="Q1" s="4" t="s">
        <v>157</v>
      </c>
      <c r="R1" s="4" t="s">
        <v>158</v>
      </c>
      <c r="S1" s="4" t="s">
        <v>159</v>
      </c>
      <c r="T1" s="4" t="s">
        <v>160</v>
      </c>
      <c r="U1" s="4" t="s">
        <v>68</v>
      </c>
      <c r="V1" s="4" t="s">
        <v>161</v>
      </c>
    </row>
    <row r="2">
      <c r="A2" s="30">
        <f>Datos!A2</f>
        <v>84865655</v>
      </c>
      <c r="B2" s="30">
        <f>Datos!B2</f>
        <v>600</v>
      </c>
      <c r="C2" s="30">
        <f>Datos!C2</f>
        <v>150</v>
      </c>
      <c r="D2" s="30">
        <f>Datos!D2</f>
        <v>250</v>
      </c>
      <c r="E2" s="30">
        <f>(B2/600)*'PANEL DE CONTROL'!$C$7</f>
        <v>600</v>
      </c>
      <c r="F2" s="30">
        <f>(C2/150)*'PANEL DE CONTROL'!$C$8</f>
        <v>150</v>
      </c>
      <c r="G2" s="30">
        <f>(D2/250)*'PANEL DE CONTROL'!$C$9</f>
        <v>250</v>
      </c>
      <c r="H2" s="30">
        <f t="shared" ref="H2:H201" si="1">E2+F2+G2</f>
        <v>1000</v>
      </c>
      <c r="I2" s="30">
        <f>IF(Datos!K2&gt;30,'PANEL DE CONTROL'!$D$14,0)+IF(Datos!M2&gt;80,'PANEL DE CONTROL'!$D$15,0)</f>
        <v>0</v>
      </c>
      <c r="J2" s="30">
        <f>IF(Datos!L2&lt;10,'PANEL DE CONTROL'!$D$16,0)+IF(Datos!N2&gt;24,'PANEL DE CONTROL'!$D$17,0)</f>
        <v>0</v>
      </c>
      <c r="K2" s="30">
        <f t="shared" ref="K2:K201" si="2">MAX(0,MIN(1000,H2-I2+J2))</f>
        <v>1000</v>
      </c>
      <c r="L2" s="30">
        <f>Datos!G2</f>
        <v>895.92</v>
      </c>
      <c r="M2" s="30">
        <f>IF(Datos!O2="muy_nuevo",'PANEL DE CONTROL'!$C$22,IF(Datos!O2="nuevo",'PANEL DE CONTROL'!$C$23,IF(Datos!O2="intermedio",'PANEL DE CONTROL'!$C$24,IF(Datos!O2="establecido",'PANEL DE CONTROL'!$C$25,'PANEL DE CONTROL'!$C$26))))</f>
        <v>0.7</v>
      </c>
      <c r="N2" s="30">
        <f>IF(Datos!J2&gt;=20,0.1,IF(Datos!J2&lt;5,-0.1,0))</f>
        <v>0.1</v>
      </c>
      <c r="O2" s="30">
        <f t="shared" ref="O2:O201" si="3">MIN(0.8,MAX(0.2,M2+N2))</f>
        <v>0.8</v>
      </c>
      <c r="P2" s="30">
        <f t="shared" ref="P2:P201" si="4">(K2*O2)+(L2*(1-O2))</f>
        <v>979.184</v>
      </c>
      <c r="Q2" s="30" t="str">
        <f>IF(P2&gt;='PANEL DE CONTROL'!$B$30,"A+",IF(P2&gt;='PANEL DE CONTROL'!$B$31,"A",IF(P2&gt;='PANEL DE CONTROL'!$B$32,"A-",IF(P2&gt;='PANEL DE CONTROL'!$B$33,"B+",IF(P2&gt;='PANEL DE CONTROL'!$B$34,"B",IF(P2&gt;='PANEL DE CONTROL'!$B$35,"B-",IF(P2&gt;='PANEL DE CONTROL'!$B$36,"C+",IF(P2&gt;='PANEL DE CONTROL'!$B$37,"C",IF(P2&gt;='PANEL DE CONTROL'!$B$38,"C-",IF(P2&gt;='PANEL DE CONTROL'!$B$39,"D+",IF(P2&gt;='PANEL DE CONTROL'!$B$40,"D","F")))))))))))</f>
        <v>A+</v>
      </c>
      <c r="R2" s="30" t="str">
        <f>Datos!I2</f>
        <v>A+</v>
      </c>
      <c r="S2" s="30">
        <f>P2-Datos!H2</f>
        <v>10.404</v>
      </c>
      <c r="T2" s="30" t="str">
        <f t="shared" ref="T2:T201" si="5">IF(ABS(S2)&lt;5,"Igual",IF(S2&gt;0,"Mejora","Empeora"))</f>
        <v>Mejora</v>
      </c>
      <c r="U2" s="30" t="str">
        <f>Datos!O2</f>
        <v>maduro</v>
      </c>
      <c r="V2" s="30" t="str">
        <f>Datos!Q2</f>
        <v>excelente</v>
      </c>
    </row>
    <row r="3">
      <c r="A3" s="30">
        <f>Datos!A3</f>
        <v>39898663</v>
      </c>
      <c r="B3" s="30">
        <f>Datos!B3</f>
        <v>600</v>
      </c>
      <c r="C3" s="30">
        <f>Datos!C3</f>
        <v>150</v>
      </c>
      <c r="D3" s="30">
        <f>Datos!D3</f>
        <v>250</v>
      </c>
      <c r="E3" s="30">
        <f>(B3/600)*'PANEL DE CONTROL'!$C$7</f>
        <v>600</v>
      </c>
      <c r="F3" s="30">
        <f>(C3/150)*'PANEL DE CONTROL'!$C$8</f>
        <v>150</v>
      </c>
      <c r="G3" s="30">
        <f>(D3/250)*'PANEL DE CONTROL'!$C$9</f>
        <v>250</v>
      </c>
      <c r="H3" s="30">
        <f t="shared" si="1"/>
        <v>1000</v>
      </c>
      <c r="I3" s="30">
        <f>IF(Datos!K3&gt;30,'PANEL DE CONTROL'!$D$14,0)+IF(Datos!M3&gt;80,'PANEL DE CONTROL'!$D$15,0)</f>
        <v>0</v>
      </c>
      <c r="J3" s="30">
        <f>IF(Datos!L3&lt;10,'PANEL DE CONTROL'!$D$16,0)+IF(Datos!N3&gt;24,'PANEL DE CONTROL'!$D$17,0)</f>
        <v>0</v>
      </c>
      <c r="K3" s="30">
        <f t="shared" si="2"/>
        <v>1000</v>
      </c>
      <c r="L3" s="30">
        <f>Datos!G3</f>
        <v>911.75</v>
      </c>
      <c r="M3" s="30">
        <f>IF(Datos!O3="muy_nuevo",'PANEL DE CONTROL'!$C$22,IF(Datos!O3="nuevo",'PANEL DE CONTROL'!$C$23,IF(Datos!O3="intermedio",'PANEL DE CONTROL'!$C$24,IF(Datos!O3="establecido",'PANEL DE CONTROL'!$C$25,'PANEL DE CONTROL'!$C$26))))</f>
        <v>0.6</v>
      </c>
      <c r="N3" s="30">
        <f>IF(Datos!J3&gt;=20,0.1,IF(Datos!J3&lt;5,-0.1,0))</f>
        <v>0.1</v>
      </c>
      <c r="O3" s="30">
        <f t="shared" si="3"/>
        <v>0.7</v>
      </c>
      <c r="P3" s="30">
        <f t="shared" si="4"/>
        <v>973.525</v>
      </c>
      <c r="Q3" s="30" t="str">
        <f>IF(P3&gt;='PANEL DE CONTROL'!$B$30,"A+",IF(P3&gt;='PANEL DE CONTROL'!$B$31,"A",IF(P3&gt;='PANEL DE CONTROL'!$B$32,"A-",IF(P3&gt;='PANEL DE CONTROL'!$B$33,"B+",IF(P3&gt;='PANEL DE CONTROL'!$B$34,"B",IF(P3&gt;='PANEL DE CONTROL'!$B$35,"B-",IF(P3&gt;='PANEL DE CONTROL'!$B$36,"C+",IF(P3&gt;='PANEL DE CONTROL'!$B$37,"C",IF(P3&gt;='PANEL DE CONTROL'!$B$38,"C-",IF(P3&gt;='PANEL DE CONTROL'!$B$39,"D+",IF(P3&gt;='PANEL DE CONTROL'!$B$40,"D","F")))))))))))</f>
        <v>A+</v>
      </c>
      <c r="R3" s="30" t="str">
        <f>Datos!I3</f>
        <v>A+</v>
      </c>
      <c r="S3" s="30">
        <f>P3-Datos!H3</f>
        <v>8.825</v>
      </c>
      <c r="T3" s="30" t="str">
        <f t="shared" si="5"/>
        <v>Mejora</v>
      </c>
      <c r="U3" s="30" t="str">
        <f>Datos!O3</f>
        <v>establecido</v>
      </c>
      <c r="V3" s="30" t="str">
        <f>Datos!Q3</f>
        <v>excelente</v>
      </c>
    </row>
    <row r="4">
      <c r="A4" s="30">
        <f>Datos!A4</f>
        <v>60106450</v>
      </c>
      <c r="B4" s="30">
        <f>Datos!B4</f>
        <v>530</v>
      </c>
      <c r="C4" s="30">
        <f>Datos!C4</f>
        <v>150</v>
      </c>
      <c r="D4" s="30">
        <f>Datos!D4</f>
        <v>200</v>
      </c>
      <c r="E4" s="30">
        <f>(B4/600)*'PANEL DE CONTROL'!$C$7</f>
        <v>530</v>
      </c>
      <c r="F4" s="30">
        <f>(C4/150)*'PANEL DE CONTROL'!$C$8</f>
        <v>150</v>
      </c>
      <c r="G4" s="30">
        <f>(D4/250)*'PANEL DE CONTROL'!$C$9</f>
        <v>200</v>
      </c>
      <c r="H4" s="30">
        <f t="shared" si="1"/>
        <v>880</v>
      </c>
      <c r="I4" s="30">
        <f>IF(Datos!K4&gt;30,'PANEL DE CONTROL'!$D$14,0)+IF(Datos!M4&gt;80,'PANEL DE CONTROL'!$D$15,0)</f>
        <v>0</v>
      </c>
      <c r="J4" s="30">
        <f>IF(Datos!L4&lt;10,'PANEL DE CONTROL'!$D$16,0)+IF(Datos!N4&gt;24,'PANEL DE CONTROL'!$D$17,0)</f>
        <v>0</v>
      </c>
      <c r="K4" s="30">
        <f t="shared" si="2"/>
        <v>880</v>
      </c>
      <c r="L4" s="30">
        <f>Datos!G4</f>
        <v>928.52</v>
      </c>
      <c r="M4" s="30">
        <f>IF(Datos!O4="muy_nuevo",'PANEL DE CONTROL'!$C$22,IF(Datos!O4="nuevo",'PANEL DE CONTROL'!$C$23,IF(Datos!O4="intermedio",'PANEL DE CONTROL'!$C$24,IF(Datos!O4="establecido",'PANEL DE CONTROL'!$C$25,'PANEL DE CONTROL'!$C$26))))</f>
        <v>0.7</v>
      </c>
      <c r="N4" s="30">
        <f>IF(Datos!J4&gt;=20,0.1,IF(Datos!J4&lt;5,-0.1,0))</f>
        <v>0</v>
      </c>
      <c r="O4" s="30">
        <f t="shared" si="3"/>
        <v>0.7</v>
      </c>
      <c r="P4" s="30">
        <f t="shared" si="4"/>
        <v>894.556</v>
      </c>
      <c r="Q4" s="30" t="str">
        <f>IF(P4&gt;='PANEL DE CONTROL'!$B$30,"A+",IF(P4&gt;='PANEL DE CONTROL'!$B$31,"A",IF(P4&gt;='PANEL DE CONTROL'!$B$32,"A-",IF(P4&gt;='PANEL DE CONTROL'!$B$33,"B+",IF(P4&gt;='PANEL DE CONTROL'!$B$34,"B",IF(P4&gt;='PANEL DE CONTROL'!$B$35,"B-",IF(P4&gt;='PANEL DE CONTROL'!$B$36,"C+",IF(P4&gt;='PANEL DE CONTROL'!$B$37,"C",IF(P4&gt;='PANEL DE CONTROL'!$B$38,"C-",IF(P4&gt;='PANEL DE CONTROL'!$B$39,"D+",IF(P4&gt;='PANEL DE CONTROL'!$B$40,"D","F")))))))))))</f>
        <v>A</v>
      </c>
      <c r="R4" s="30" t="str">
        <f>Datos!I4</f>
        <v>A</v>
      </c>
      <c r="S4" s="30">
        <f>P4-Datos!H4</f>
        <v>-0.004</v>
      </c>
      <c r="T4" s="30" t="str">
        <f t="shared" si="5"/>
        <v>Igual</v>
      </c>
      <c r="U4" s="30" t="str">
        <f>Datos!O4</f>
        <v>maduro</v>
      </c>
      <c r="V4" s="30" t="str">
        <f>Datos!Q4</f>
        <v>excelente</v>
      </c>
    </row>
    <row r="5">
      <c r="A5" s="30">
        <f>Datos!A5</f>
        <v>34784923</v>
      </c>
      <c r="B5" s="30">
        <f>Datos!B5</f>
        <v>600</v>
      </c>
      <c r="C5" s="30">
        <f>Datos!C5</f>
        <v>150</v>
      </c>
      <c r="D5" s="30">
        <f>Datos!D5</f>
        <v>250</v>
      </c>
      <c r="E5" s="30">
        <f>(B5/600)*'PANEL DE CONTROL'!$C$7</f>
        <v>600</v>
      </c>
      <c r="F5" s="30">
        <f>(C5/150)*'PANEL DE CONTROL'!$C$8</f>
        <v>150</v>
      </c>
      <c r="G5" s="30">
        <f>(D5/250)*'PANEL DE CONTROL'!$C$9</f>
        <v>250</v>
      </c>
      <c r="H5" s="30">
        <f t="shared" si="1"/>
        <v>1000</v>
      </c>
      <c r="I5" s="30">
        <f>IF(Datos!K5&gt;30,'PANEL DE CONTROL'!$D$14,0)+IF(Datos!M5&gt;80,'PANEL DE CONTROL'!$D$15,0)</f>
        <v>0</v>
      </c>
      <c r="J5" s="30">
        <f>IF(Datos!L5&lt;10,'PANEL DE CONTROL'!$D$16,0)+IF(Datos!N5&gt;24,'PANEL DE CONTROL'!$D$17,0)</f>
        <v>0</v>
      </c>
      <c r="K5" s="30">
        <f t="shared" si="2"/>
        <v>1000</v>
      </c>
      <c r="L5" s="30">
        <f>Datos!G5</f>
        <v>880.46</v>
      </c>
      <c r="M5" s="30">
        <f>IF(Datos!O5="muy_nuevo",'PANEL DE CONTROL'!$C$22,IF(Datos!O5="nuevo",'PANEL DE CONTROL'!$C$23,IF(Datos!O5="intermedio",'PANEL DE CONTROL'!$C$24,IF(Datos!O5="establecido",'PANEL DE CONTROL'!$C$25,'PANEL DE CONTROL'!$C$26))))</f>
        <v>0.7</v>
      </c>
      <c r="N5" s="30">
        <f>IF(Datos!J5&gt;=20,0.1,IF(Datos!J5&lt;5,-0.1,0))</f>
        <v>0.1</v>
      </c>
      <c r="O5" s="30">
        <f t="shared" si="3"/>
        <v>0.8</v>
      </c>
      <c r="P5" s="30">
        <f t="shared" si="4"/>
        <v>976.092</v>
      </c>
      <c r="Q5" s="30" t="str">
        <f>IF(P5&gt;='PANEL DE CONTROL'!$B$30,"A+",IF(P5&gt;='PANEL DE CONTROL'!$B$31,"A",IF(P5&gt;='PANEL DE CONTROL'!$B$32,"A-",IF(P5&gt;='PANEL DE CONTROL'!$B$33,"B+",IF(P5&gt;='PANEL DE CONTROL'!$B$34,"B",IF(P5&gt;='PANEL DE CONTROL'!$B$35,"B-",IF(P5&gt;='PANEL DE CONTROL'!$B$36,"C+",IF(P5&gt;='PANEL DE CONTROL'!$B$37,"C",IF(P5&gt;='PANEL DE CONTROL'!$B$38,"C-",IF(P5&gt;='PANEL DE CONTROL'!$B$39,"D+",IF(P5&gt;='PANEL DE CONTROL'!$B$40,"D","F")))))))))))</f>
        <v>A+</v>
      </c>
      <c r="R5" s="30" t="str">
        <f>Datos!I5</f>
        <v>A+</v>
      </c>
      <c r="S5" s="30">
        <f>P5-Datos!H5</f>
        <v>11.952</v>
      </c>
      <c r="T5" s="30" t="str">
        <f t="shared" si="5"/>
        <v>Mejora</v>
      </c>
      <c r="U5" s="30" t="str">
        <f>Datos!O5</f>
        <v>maduro</v>
      </c>
      <c r="V5" s="30" t="str">
        <f>Datos!Q5</f>
        <v>excelente</v>
      </c>
    </row>
    <row r="6">
      <c r="A6" s="30">
        <f>Datos!A6</f>
        <v>41431975</v>
      </c>
      <c r="B6" s="30">
        <f>Datos!B6</f>
        <v>530</v>
      </c>
      <c r="C6" s="30">
        <f>Datos!C6</f>
        <v>150</v>
      </c>
      <c r="D6" s="30">
        <f>Datos!D6</f>
        <v>250</v>
      </c>
      <c r="E6" s="30">
        <f>(B6/600)*'PANEL DE CONTROL'!$C$7</f>
        <v>530</v>
      </c>
      <c r="F6" s="30">
        <f>(C6/150)*'PANEL DE CONTROL'!$C$8</f>
        <v>150</v>
      </c>
      <c r="G6" s="30">
        <f>(D6/250)*'PANEL DE CONTROL'!$C$9</f>
        <v>250</v>
      </c>
      <c r="H6" s="30">
        <f t="shared" si="1"/>
        <v>930</v>
      </c>
      <c r="I6" s="30">
        <f>IF(Datos!K6&gt;30,'PANEL DE CONTROL'!$D$14,0)+IF(Datos!M6&gt;80,'PANEL DE CONTROL'!$D$15,0)</f>
        <v>0</v>
      </c>
      <c r="J6" s="30">
        <f>IF(Datos!L6&lt;10,'PANEL DE CONTROL'!$D$16,0)+IF(Datos!N6&gt;24,'PANEL DE CONTROL'!$D$17,0)</f>
        <v>0</v>
      </c>
      <c r="K6" s="30">
        <f t="shared" si="2"/>
        <v>930</v>
      </c>
      <c r="L6" s="30">
        <f>Datos!G6</f>
        <v>916.25</v>
      </c>
      <c r="M6" s="30">
        <f>IF(Datos!O6="muy_nuevo",'PANEL DE CONTROL'!$C$22,IF(Datos!O6="nuevo",'PANEL DE CONTROL'!$C$23,IF(Datos!O6="intermedio",'PANEL DE CONTROL'!$C$24,IF(Datos!O6="establecido",'PANEL DE CONTROL'!$C$25,'PANEL DE CONTROL'!$C$26))))</f>
        <v>0.7</v>
      </c>
      <c r="N6" s="30">
        <f>IF(Datos!J6&gt;=20,0.1,IF(Datos!J6&lt;5,-0.1,0))</f>
        <v>0</v>
      </c>
      <c r="O6" s="30">
        <f t="shared" si="3"/>
        <v>0.7</v>
      </c>
      <c r="P6" s="30">
        <f t="shared" si="4"/>
        <v>925.875</v>
      </c>
      <c r="Q6" s="30" t="str">
        <f>IF(P6&gt;='PANEL DE CONTROL'!$B$30,"A+",IF(P6&gt;='PANEL DE CONTROL'!$B$31,"A",IF(P6&gt;='PANEL DE CONTROL'!$B$32,"A-",IF(P6&gt;='PANEL DE CONTROL'!$B$33,"B+",IF(P6&gt;='PANEL DE CONTROL'!$B$34,"B",IF(P6&gt;='PANEL DE CONTROL'!$B$35,"B-",IF(P6&gt;='PANEL DE CONTROL'!$B$36,"C+",IF(P6&gt;='PANEL DE CONTROL'!$B$37,"C",IF(P6&gt;='PANEL DE CONTROL'!$B$38,"C-",IF(P6&gt;='PANEL DE CONTROL'!$B$39,"D+",IF(P6&gt;='PANEL DE CONTROL'!$B$40,"D","F")))))))))))</f>
        <v>A+</v>
      </c>
      <c r="R6" s="30" t="str">
        <f>Datos!I6</f>
        <v>A+</v>
      </c>
      <c r="S6" s="30">
        <f>P6-Datos!H6</f>
        <v>-0.005</v>
      </c>
      <c r="T6" s="30" t="str">
        <f t="shared" si="5"/>
        <v>Igual</v>
      </c>
      <c r="U6" s="30" t="str">
        <f>Datos!O6</f>
        <v>maduro</v>
      </c>
      <c r="V6" s="30" t="str">
        <f>Datos!Q6</f>
        <v>excelente</v>
      </c>
    </row>
    <row r="7">
      <c r="A7" s="30">
        <f>Datos!A7</f>
        <v>70333861</v>
      </c>
      <c r="B7" s="30">
        <f>Datos!B7</f>
        <v>530</v>
      </c>
      <c r="C7" s="30">
        <f>Datos!C7</f>
        <v>150</v>
      </c>
      <c r="D7" s="30">
        <f>Datos!D7</f>
        <v>200</v>
      </c>
      <c r="E7" s="30">
        <f>(B7/600)*'PANEL DE CONTROL'!$C$7</f>
        <v>530</v>
      </c>
      <c r="F7" s="30">
        <f>(C7/150)*'PANEL DE CONTROL'!$C$8</f>
        <v>150</v>
      </c>
      <c r="G7" s="30">
        <f>(D7/250)*'PANEL DE CONTROL'!$C$9</f>
        <v>200</v>
      </c>
      <c r="H7" s="30">
        <f t="shared" si="1"/>
        <v>880</v>
      </c>
      <c r="I7" s="30">
        <f>IF(Datos!K7&gt;30,'PANEL DE CONTROL'!$D$14,0)+IF(Datos!M7&gt;80,'PANEL DE CONTROL'!$D$15,0)</f>
        <v>0</v>
      </c>
      <c r="J7" s="30">
        <f>IF(Datos!L7&lt;10,'PANEL DE CONTROL'!$D$16,0)+IF(Datos!N7&gt;24,'PANEL DE CONTROL'!$D$17,0)</f>
        <v>0</v>
      </c>
      <c r="K7" s="30">
        <f t="shared" si="2"/>
        <v>880</v>
      </c>
      <c r="L7" s="30">
        <f>Datos!G7</f>
        <v>909.79</v>
      </c>
      <c r="M7" s="30">
        <f>IF(Datos!O7="muy_nuevo",'PANEL DE CONTROL'!$C$22,IF(Datos!O7="nuevo",'PANEL DE CONTROL'!$C$23,IF(Datos!O7="intermedio",'PANEL DE CONTROL'!$C$24,IF(Datos!O7="establecido",'PANEL DE CONTROL'!$C$25,'PANEL DE CONTROL'!$C$26))))</f>
        <v>0.6</v>
      </c>
      <c r="N7" s="30">
        <f>IF(Datos!J7&gt;=20,0.1,IF(Datos!J7&lt;5,-0.1,0))</f>
        <v>0</v>
      </c>
      <c r="O7" s="30">
        <f t="shared" si="3"/>
        <v>0.6</v>
      </c>
      <c r="P7" s="30">
        <f t="shared" si="4"/>
        <v>891.916</v>
      </c>
      <c r="Q7" s="30" t="str">
        <f>IF(P7&gt;='PANEL DE CONTROL'!$B$30,"A+",IF(P7&gt;='PANEL DE CONTROL'!$B$31,"A",IF(P7&gt;='PANEL DE CONTROL'!$B$32,"A-",IF(P7&gt;='PANEL DE CONTROL'!$B$33,"B+",IF(P7&gt;='PANEL DE CONTROL'!$B$34,"B",IF(P7&gt;='PANEL DE CONTROL'!$B$35,"B-",IF(P7&gt;='PANEL DE CONTROL'!$B$36,"C+",IF(P7&gt;='PANEL DE CONTROL'!$B$37,"C",IF(P7&gt;='PANEL DE CONTROL'!$B$38,"C-",IF(P7&gt;='PANEL DE CONTROL'!$B$39,"D+",IF(P7&gt;='PANEL DE CONTROL'!$B$40,"D","F")))))))))))</f>
        <v>A</v>
      </c>
      <c r="R7" s="30" t="str">
        <f>Datos!I7</f>
        <v>A</v>
      </c>
      <c r="S7" s="30">
        <f>P7-Datos!H7</f>
        <v>-0.004</v>
      </c>
      <c r="T7" s="30" t="str">
        <f t="shared" si="5"/>
        <v>Igual</v>
      </c>
      <c r="U7" s="30" t="str">
        <f>Datos!O7</f>
        <v>establecido</v>
      </c>
      <c r="V7" s="30" t="str">
        <f>Datos!Q7</f>
        <v>excelente</v>
      </c>
    </row>
    <row r="8">
      <c r="A8" s="30">
        <f>Datos!A8</f>
        <v>19016961</v>
      </c>
      <c r="B8" s="30">
        <f>Datos!B8</f>
        <v>600</v>
      </c>
      <c r="C8" s="30">
        <f>Datos!C8</f>
        <v>150</v>
      </c>
      <c r="D8" s="30">
        <f>Datos!D8</f>
        <v>250</v>
      </c>
      <c r="E8" s="30">
        <f>(B8/600)*'PANEL DE CONTROL'!$C$7</f>
        <v>600</v>
      </c>
      <c r="F8" s="30">
        <f>(C8/150)*'PANEL DE CONTROL'!$C$8</f>
        <v>150</v>
      </c>
      <c r="G8" s="30">
        <f>(D8/250)*'PANEL DE CONTROL'!$C$9</f>
        <v>250</v>
      </c>
      <c r="H8" s="30">
        <f t="shared" si="1"/>
        <v>1000</v>
      </c>
      <c r="I8" s="30">
        <f>IF(Datos!K8&gt;30,'PANEL DE CONTROL'!$D$14,0)+IF(Datos!M8&gt;80,'PANEL DE CONTROL'!$D$15,0)</f>
        <v>0</v>
      </c>
      <c r="J8" s="30">
        <f>IF(Datos!L8&lt;10,'PANEL DE CONTROL'!$D$16,0)+IF(Datos!N8&gt;24,'PANEL DE CONTROL'!$D$17,0)</f>
        <v>0</v>
      </c>
      <c r="K8" s="30">
        <f t="shared" si="2"/>
        <v>1000</v>
      </c>
      <c r="L8" s="30">
        <f>Datos!G8</f>
        <v>885.68</v>
      </c>
      <c r="M8" s="30">
        <f>IF(Datos!O8="muy_nuevo",'PANEL DE CONTROL'!$C$22,IF(Datos!O8="nuevo",'PANEL DE CONTROL'!$C$23,IF(Datos!O8="intermedio",'PANEL DE CONTROL'!$C$24,IF(Datos!O8="establecido",'PANEL DE CONTROL'!$C$25,'PANEL DE CONTROL'!$C$26))))</f>
        <v>0.7</v>
      </c>
      <c r="N8" s="30">
        <f>IF(Datos!J8&gt;=20,0.1,IF(Datos!J8&lt;5,-0.1,0))</f>
        <v>0.1</v>
      </c>
      <c r="O8" s="30">
        <f t="shared" si="3"/>
        <v>0.8</v>
      </c>
      <c r="P8" s="30">
        <f t="shared" si="4"/>
        <v>977.136</v>
      </c>
      <c r="Q8" s="30" t="str">
        <f>IF(P8&gt;='PANEL DE CONTROL'!$B$30,"A+",IF(P8&gt;='PANEL DE CONTROL'!$B$31,"A",IF(P8&gt;='PANEL DE CONTROL'!$B$32,"A-",IF(P8&gt;='PANEL DE CONTROL'!$B$33,"B+",IF(P8&gt;='PANEL DE CONTROL'!$B$34,"B",IF(P8&gt;='PANEL DE CONTROL'!$B$35,"B-",IF(P8&gt;='PANEL DE CONTROL'!$B$36,"C+",IF(P8&gt;='PANEL DE CONTROL'!$B$37,"C",IF(P8&gt;='PANEL DE CONTROL'!$B$38,"C-",IF(P8&gt;='PANEL DE CONTROL'!$B$39,"D+",IF(P8&gt;='PANEL DE CONTROL'!$B$40,"D","F")))))))))))</f>
        <v>A+</v>
      </c>
      <c r="R8" s="30" t="str">
        <f>Datos!I8</f>
        <v>A+</v>
      </c>
      <c r="S8" s="30">
        <f>P8-Datos!H8</f>
        <v>11.436</v>
      </c>
      <c r="T8" s="30" t="str">
        <f t="shared" si="5"/>
        <v>Mejora</v>
      </c>
      <c r="U8" s="30" t="str">
        <f>Datos!O8</f>
        <v>maduro</v>
      </c>
      <c r="V8" s="30" t="str">
        <f>Datos!Q8</f>
        <v>excelente</v>
      </c>
    </row>
    <row r="9">
      <c r="A9" s="30">
        <f>Datos!A9</f>
        <v>12633705</v>
      </c>
      <c r="B9" s="30">
        <f>Datos!B9</f>
        <v>530</v>
      </c>
      <c r="C9" s="30">
        <f>Datos!C9</f>
        <v>150</v>
      </c>
      <c r="D9" s="30">
        <f>Datos!D9</f>
        <v>200</v>
      </c>
      <c r="E9" s="30">
        <f>(B9/600)*'PANEL DE CONTROL'!$C$7</f>
        <v>530</v>
      </c>
      <c r="F9" s="30">
        <f>(C9/150)*'PANEL DE CONTROL'!$C$8</f>
        <v>150</v>
      </c>
      <c r="G9" s="30">
        <f>(D9/250)*'PANEL DE CONTROL'!$C$9</f>
        <v>200</v>
      </c>
      <c r="H9" s="30">
        <f t="shared" si="1"/>
        <v>880</v>
      </c>
      <c r="I9" s="30">
        <f>IF(Datos!K9&gt;30,'PANEL DE CONTROL'!$D$14,0)+IF(Datos!M9&gt;80,'PANEL DE CONTROL'!$D$15,0)</f>
        <v>0</v>
      </c>
      <c r="J9" s="30">
        <f>IF(Datos!L9&lt;10,'PANEL DE CONTROL'!$D$16,0)+IF(Datos!N9&gt;24,'PANEL DE CONTROL'!$D$17,0)</f>
        <v>0</v>
      </c>
      <c r="K9" s="30">
        <f t="shared" si="2"/>
        <v>880</v>
      </c>
      <c r="L9" s="30">
        <f>Datos!G9</f>
        <v>851.41</v>
      </c>
      <c r="M9" s="30">
        <f>IF(Datos!O9="muy_nuevo",'PANEL DE CONTROL'!$C$22,IF(Datos!O9="nuevo",'PANEL DE CONTROL'!$C$23,IF(Datos!O9="intermedio",'PANEL DE CONTROL'!$C$24,IF(Datos!O9="establecido",'PANEL DE CONTROL'!$C$25,'PANEL DE CONTROL'!$C$26))))</f>
        <v>0.7</v>
      </c>
      <c r="N9" s="30">
        <f>IF(Datos!J9&gt;=20,0.1,IF(Datos!J9&lt;5,-0.1,0))</f>
        <v>0</v>
      </c>
      <c r="O9" s="30">
        <f t="shared" si="3"/>
        <v>0.7</v>
      </c>
      <c r="P9" s="30">
        <f t="shared" si="4"/>
        <v>871.423</v>
      </c>
      <c r="Q9" s="30" t="str">
        <f>IF(P9&gt;='PANEL DE CONTROL'!$B$30,"A+",IF(P9&gt;='PANEL DE CONTROL'!$B$31,"A",IF(P9&gt;='PANEL DE CONTROL'!$B$32,"A-",IF(P9&gt;='PANEL DE CONTROL'!$B$33,"B+",IF(P9&gt;='PANEL DE CONTROL'!$B$34,"B",IF(P9&gt;='PANEL DE CONTROL'!$B$35,"B-",IF(P9&gt;='PANEL DE CONTROL'!$B$36,"C+",IF(P9&gt;='PANEL DE CONTROL'!$B$37,"C",IF(P9&gt;='PANEL DE CONTROL'!$B$38,"C-",IF(P9&gt;='PANEL DE CONTROL'!$B$39,"D+",IF(P9&gt;='PANEL DE CONTROL'!$B$40,"D","F")))))))))))</f>
        <v>A</v>
      </c>
      <c r="R9" s="30" t="str">
        <f>Datos!I9</f>
        <v>A</v>
      </c>
      <c r="S9" s="30">
        <f>P9-Datos!H9</f>
        <v>0.003</v>
      </c>
      <c r="T9" s="30" t="str">
        <f t="shared" si="5"/>
        <v>Igual</v>
      </c>
      <c r="U9" s="30" t="str">
        <f>Datos!O9</f>
        <v>maduro</v>
      </c>
      <c r="V9" s="30" t="str">
        <f>Datos!Q9</f>
        <v>excelente</v>
      </c>
    </row>
    <row r="10">
      <c r="A10" s="30">
        <f>Datos!A10</f>
        <v>99166838</v>
      </c>
      <c r="B10" s="30">
        <f>Datos!B10</f>
        <v>600</v>
      </c>
      <c r="C10" s="30">
        <f>Datos!C10</f>
        <v>150</v>
      </c>
      <c r="D10" s="30">
        <f>Datos!D10</f>
        <v>200</v>
      </c>
      <c r="E10" s="30">
        <f>(B10/600)*'PANEL DE CONTROL'!$C$7</f>
        <v>600</v>
      </c>
      <c r="F10" s="30">
        <f>(C10/150)*'PANEL DE CONTROL'!$C$8</f>
        <v>150</v>
      </c>
      <c r="G10" s="30">
        <f>(D10/250)*'PANEL DE CONTROL'!$C$9</f>
        <v>200</v>
      </c>
      <c r="H10" s="30">
        <f t="shared" si="1"/>
        <v>950</v>
      </c>
      <c r="I10" s="30">
        <f>IF(Datos!K10&gt;30,'PANEL DE CONTROL'!$D$14,0)+IF(Datos!M10&gt;80,'PANEL DE CONTROL'!$D$15,0)</f>
        <v>0</v>
      </c>
      <c r="J10" s="30">
        <f>IF(Datos!L10&lt;10,'PANEL DE CONTROL'!$D$16,0)+IF(Datos!N10&gt;24,'PANEL DE CONTROL'!$D$17,0)</f>
        <v>0</v>
      </c>
      <c r="K10" s="30">
        <f t="shared" si="2"/>
        <v>950</v>
      </c>
      <c r="L10" s="30">
        <f>Datos!G10</f>
        <v>894.95</v>
      </c>
      <c r="M10" s="30">
        <f>IF(Datos!O10="muy_nuevo",'PANEL DE CONTROL'!$C$22,IF(Datos!O10="nuevo",'PANEL DE CONTROL'!$C$23,IF(Datos!O10="intermedio",'PANEL DE CONTROL'!$C$24,IF(Datos!O10="establecido",'PANEL DE CONTROL'!$C$25,'PANEL DE CONTROL'!$C$26))))</f>
        <v>0.7</v>
      </c>
      <c r="N10" s="30">
        <f>IF(Datos!J10&gt;=20,0.1,IF(Datos!J10&lt;5,-0.1,0))</f>
        <v>0.1</v>
      </c>
      <c r="O10" s="30">
        <f t="shared" si="3"/>
        <v>0.8</v>
      </c>
      <c r="P10" s="30">
        <f t="shared" si="4"/>
        <v>938.99</v>
      </c>
      <c r="Q10" s="30" t="str">
        <f>IF(P10&gt;='PANEL DE CONTROL'!$B$30,"A+",IF(P10&gt;='PANEL DE CONTROL'!$B$31,"A",IF(P10&gt;='PANEL DE CONTROL'!$B$32,"A-",IF(P10&gt;='PANEL DE CONTROL'!$B$33,"B+",IF(P10&gt;='PANEL DE CONTROL'!$B$34,"B",IF(P10&gt;='PANEL DE CONTROL'!$B$35,"B-",IF(P10&gt;='PANEL DE CONTROL'!$B$36,"C+",IF(P10&gt;='PANEL DE CONTROL'!$B$37,"C",IF(P10&gt;='PANEL DE CONTROL'!$B$38,"C-",IF(P10&gt;='PANEL DE CONTROL'!$B$39,"D+",IF(P10&gt;='PANEL DE CONTROL'!$B$40,"D","F")))))))))))</f>
        <v>A+</v>
      </c>
      <c r="R10" s="30" t="str">
        <f>Datos!I10</f>
        <v>A+</v>
      </c>
      <c r="S10" s="30">
        <f>P10-Datos!H10</f>
        <v>5.51</v>
      </c>
      <c r="T10" s="30" t="str">
        <f t="shared" si="5"/>
        <v>Mejora</v>
      </c>
      <c r="U10" s="30" t="str">
        <f>Datos!O10</f>
        <v>maduro</v>
      </c>
      <c r="V10" s="30" t="str">
        <f>Datos!Q10</f>
        <v>excelente</v>
      </c>
    </row>
    <row r="11">
      <c r="A11" s="30">
        <f>Datos!A11</f>
        <v>92217102</v>
      </c>
      <c r="B11" s="30">
        <f>Datos!B11</f>
        <v>600</v>
      </c>
      <c r="C11" s="30">
        <f>Datos!C11</f>
        <v>150</v>
      </c>
      <c r="D11" s="30">
        <f>Datos!D11</f>
        <v>250</v>
      </c>
      <c r="E11" s="30">
        <f>(B11/600)*'PANEL DE CONTROL'!$C$7</f>
        <v>600</v>
      </c>
      <c r="F11" s="30">
        <f>(C11/150)*'PANEL DE CONTROL'!$C$8</f>
        <v>150</v>
      </c>
      <c r="G11" s="30">
        <f>(D11/250)*'PANEL DE CONTROL'!$C$9</f>
        <v>250</v>
      </c>
      <c r="H11" s="30">
        <f t="shared" si="1"/>
        <v>1000</v>
      </c>
      <c r="I11" s="30">
        <f>IF(Datos!K11&gt;30,'PANEL DE CONTROL'!$D$14,0)+IF(Datos!M11&gt;80,'PANEL DE CONTROL'!$D$15,0)</f>
        <v>0</v>
      </c>
      <c r="J11" s="30">
        <f>IF(Datos!L11&lt;10,'PANEL DE CONTROL'!$D$16,0)+IF(Datos!N11&gt;24,'PANEL DE CONTROL'!$D$17,0)</f>
        <v>0</v>
      </c>
      <c r="K11" s="30">
        <f t="shared" si="2"/>
        <v>1000</v>
      </c>
      <c r="L11" s="30">
        <f>Datos!G11</f>
        <v>921.32</v>
      </c>
      <c r="M11" s="30">
        <f>IF(Datos!O11="muy_nuevo",'PANEL DE CONTROL'!$C$22,IF(Datos!O11="nuevo",'PANEL DE CONTROL'!$C$23,IF(Datos!O11="intermedio",'PANEL DE CONTROL'!$C$24,IF(Datos!O11="establecido",'PANEL DE CONTROL'!$C$25,'PANEL DE CONTROL'!$C$26))))</f>
        <v>0.6</v>
      </c>
      <c r="N11" s="30">
        <f>IF(Datos!J11&gt;=20,0.1,IF(Datos!J11&lt;5,-0.1,0))</f>
        <v>0.1</v>
      </c>
      <c r="O11" s="30">
        <f t="shared" si="3"/>
        <v>0.7</v>
      </c>
      <c r="P11" s="30">
        <f t="shared" si="4"/>
        <v>976.396</v>
      </c>
      <c r="Q11" s="30" t="str">
        <f>IF(P11&gt;='PANEL DE CONTROL'!$B$30,"A+",IF(P11&gt;='PANEL DE CONTROL'!$B$31,"A",IF(P11&gt;='PANEL DE CONTROL'!$B$32,"A-",IF(P11&gt;='PANEL DE CONTROL'!$B$33,"B+",IF(P11&gt;='PANEL DE CONTROL'!$B$34,"B",IF(P11&gt;='PANEL DE CONTROL'!$B$35,"B-",IF(P11&gt;='PANEL DE CONTROL'!$B$36,"C+",IF(P11&gt;='PANEL DE CONTROL'!$B$37,"C",IF(P11&gt;='PANEL DE CONTROL'!$B$38,"C-",IF(P11&gt;='PANEL DE CONTROL'!$B$39,"D+",IF(P11&gt;='PANEL DE CONTROL'!$B$40,"D","F")))))))))))</f>
        <v>A+</v>
      </c>
      <c r="R11" s="30" t="str">
        <f>Datos!I11</f>
        <v>A+</v>
      </c>
      <c r="S11" s="30">
        <f>P11-Datos!H11</f>
        <v>7.866</v>
      </c>
      <c r="T11" s="30" t="str">
        <f t="shared" si="5"/>
        <v>Mejora</v>
      </c>
      <c r="U11" s="30" t="str">
        <f>Datos!O11</f>
        <v>establecido</v>
      </c>
      <c r="V11" s="30" t="str">
        <f>Datos!Q11</f>
        <v>excelente</v>
      </c>
    </row>
    <row r="12">
      <c r="A12" s="30">
        <f>Datos!A12</f>
        <v>11204918</v>
      </c>
      <c r="B12" s="30">
        <f>Datos!B12</f>
        <v>530</v>
      </c>
      <c r="C12" s="30">
        <f>Datos!C12</f>
        <v>150</v>
      </c>
      <c r="D12" s="30">
        <f>Datos!D12</f>
        <v>200</v>
      </c>
      <c r="E12" s="30">
        <f>(B12/600)*'PANEL DE CONTROL'!$C$7</f>
        <v>530</v>
      </c>
      <c r="F12" s="30">
        <f>(C12/150)*'PANEL DE CONTROL'!$C$8</f>
        <v>150</v>
      </c>
      <c r="G12" s="30">
        <f>(D12/250)*'PANEL DE CONTROL'!$C$9</f>
        <v>200</v>
      </c>
      <c r="H12" s="30">
        <f t="shared" si="1"/>
        <v>880</v>
      </c>
      <c r="I12" s="30">
        <f>IF(Datos!K12&gt;30,'PANEL DE CONTROL'!$D$14,0)+IF(Datos!M12&gt;80,'PANEL DE CONTROL'!$D$15,0)</f>
        <v>0</v>
      </c>
      <c r="J12" s="30">
        <f>IF(Datos!L12&lt;10,'PANEL DE CONTROL'!$D$16,0)+IF(Datos!N12&gt;24,'PANEL DE CONTROL'!$D$17,0)</f>
        <v>0</v>
      </c>
      <c r="K12" s="30">
        <f t="shared" si="2"/>
        <v>880</v>
      </c>
      <c r="L12" s="30">
        <f>Datos!G12</f>
        <v>853.14</v>
      </c>
      <c r="M12" s="30">
        <f>IF(Datos!O12="muy_nuevo",'PANEL DE CONTROL'!$C$22,IF(Datos!O12="nuevo",'PANEL DE CONTROL'!$C$23,IF(Datos!O12="intermedio",'PANEL DE CONTROL'!$C$24,IF(Datos!O12="establecido",'PANEL DE CONTROL'!$C$25,'PANEL DE CONTROL'!$C$26))))</f>
        <v>0.6</v>
      </c>
      <c r="N12" s="30">
        <f>IF(Datos!J12&gt;=20,0.1,IF(Datos!J12&lt;5,-0.1,0))</f>
        <v>0.1</v>
      </c>
      <c r="O12" s="30">
        <f t="shared" si="3"/>
        <v>0.7</v>
      </c>
      <c r="P12" s="30">
        <f t="shared" si="4"/>
        <v>871.942</v>
      </c>
      <c r="Q12" s="30" t="str">
        <f>IF(P12&gt;='PANEL DE CONTROL'!$B$30,"A+",IF(P12&gt;='PANEL DE CONTROL'!$B$31,"A",IF(P12&gt;='PANEL DE CONTROL'!$B$32,"A-",IF(P12&gt;='PANEL DE CONTROL'!$B$33,"B+",IF(P12&gt;='PANEL DE CONTROL'!$B$34,"B",IF(P12&gt;='PANEL DE CONTROL'!$B$35,"B-",IF(P12&gt;='PANEL DE CONTROL'!$B$36,"C+",IF(P12&gt;='PANEL DE CONTROL'!$B$37,"C",IF(P12&gt;='PANEL DE CONTROL'!$B$38,"C-",IF(P12&gt;='PANEL DE CONTROL'!$B$39,"D+",IF(P12&gt;='PANEL DE CONTROL'!$B$40,"D","F")))))))))))</f>
        <v>A</v>
      </c>
      <c r="R12" s="30" t="str">
        <f>Datos!I12</f>
        <v>A</v>
      </c>
      <c r="S12" s="30">
        <f>P12-Datos!H12</f>
        <v>2.682</v>
      </c>
      <c r="T12" s="30" t="str">
        <f t="shared" si="5"/>
        <v>Igual</v>
      </c>
      <c r="U12" s="30" t="str">
        <f>Datos!O12</f>
        <v>establecido</v>
      </c>
      <c r="V12" s="30" t="str">
        <f>Datos!Q12</f>
        <v>excelente</v>
      </c>
    </row>
    <row r="13">
      <c r="A13" s="30">
        <f>Datos!A13</f>
        <v>23938272</v>
      </c>
      <c r="B13" s="30">
        <f>Datos!B13</f>
        <v>600</v>
      </c>
      <c r="C13" s="30">
        <f>Datos!C13</f>
        <v>150</v>
      </c>
      <c r="D13" s="30">
        <f>Datos!D13</f>
        <v>250</v>
      </c>
      <c r="E13" s="30">
        <f>(B13/600)*'PANEL DE CONTROL'!$C$7</f>
        <v>600</v>
      </c>
      <c r="F13" s="30">
        <f>(C13/150)*'PANEL DE CONTROL'!$C$8</f>
        <v>150</v>
      </c>
      <c r="G13" s="30">
        <f>(D13/250)*'PANEL DE CONTROL'!$C$9</f>
        <v>250</v>
      </c>
      <c r="H13" s="30">
        <f t="shared" si="1"/>
        <v>1000</v>
      </c>
      <c r="I13" s="30">
        <f>IF(Datos!K13&gt;30,'PANEL DE CONTROL'!$D$14,0)+IF(Datos!M13&gt;80,'PANEL DE CONTROL'!$D$15,0)</f>
        <v>0</v>
      </c>
      <c r="J13" s="30">
        <f>IF(Datos!L13&lt;10,'PANEL DE CONTROL'!$D$16,0)+IF(Datos!N13&gt;24,'PANEL DE CONTROL'!$D$17,0)</f>
        <v>0</v>
      </c>
      <c r="K13" s="30">
        <f t="shared" si="2"/>
        <v>1000</v>
      </c>
      <c r="L13" s="30">
        <f>Datos!G13</f>
        <v>878.98</v>
      </c>
      <c r="M13" s="30">
        <f>IF(Datos!O13="muy_nuevo",'PANEL DE CONTROL'!$C$22,IF(Datos!O13="nuevo",'PANEL DE CONTROL'!$C$23,IF(Datos!O13="intermedio",'PANEL DE CONTROL'!$C$24,IF(Datos!O13="establecido",'PANEL DE CONTROL'!$C$25,'PANEL DE CONTROL'!$C$26))))</f>
        <v>0.7</v>
      </c>
      <c r="N13" s="30">
        <f>IF(Datos!J13&gt;=20,0.1,IF(Datos!J13&lt;5,-0.1,0))</f>
        <v>0</v>
      </c>
      <c r="O13" s="30">
        <f t="shared" si="3"/>
        <v>0.7</v>
      </c>
      <c r="P13" s="30">
        <f t="shared" si="4"/>
        <v>963.694</v>
      </c>
      <c r="Q13" s="30" t="str">
        <f>IF(P13&gt;='PANEL DE CONTROL'!$B$30,"A+",IF(P13&gt;='PANEL DE CONTROL'!$B$31,"A",IF(P13&gt;='PANEL DE CONTROL'!$B$32,"A-",IF(P13&gt;='PANEL DE CONTROL'!$B$33,"B+",IF(P13&gt;='PANEL DE CONTROL'!$B$34,"B",IF(P13&gt;='PANEL DE CONTROL'!$B$35,"B-",IF(P13&gt;='PANEL DE CONTROL'!$B$36,"C+",IF(P13&gt;='PANEL DE CONTROL'!$B$37,"C",IF(P13&gt;='PANEL DE CONTROL'!$B$38,"C-",IF(P13&gt;='PANEL DE CONTROL'!$B$39,"D+",IF(P13&gt;='PANEL DE CONTROL'!$B$40,"D","F")))))))))))</f>
        <v>A+</v>
      </c>
      <c r="R13" s="30" t="str">
        <f>Datos!I13</f>
        <v>A+</v>
      </c>
      <c r="S13" s="30">
        <f>P13-Datos!H13</f>
        <v>0.004</v>
      </c>
      <c r="T13" s="30" t="str">
        <f t="shared" si="5"/>
        <v>Igual</v>
      </c>
      <c r="U13" s="30" t="str">
        <f>Datos!O13</f>
        <v>maduro</v>
      </c>
      <c r="V13" s="30" t="str">
        <f>Datos!Q13</f>
        <v>excelente</v>
      </c>
    </row>
    <row r="14">
      <c r="A14" s="30">
        <f>Datos!A14</f>
        <v>84500962</v>
      </c>
      <c r="B14" s="30">
        <f>Datos!B14</f>
        <v>600</v>
      </c>
      <c r="C14" s="30">
        <f>Datos!C14</f>
        <v>150</v>
      </c>
      <c r="D14" s="30">
        <f>Datos!D14</f>
        <v>200</v>
      </c>
      <c r="E14" s="30">
        <f>(B14/600)*'PANEL DE CONTROL'!$C$7</f>
        <v>600</v>
      </c>
      <c r="F14" s="30">
        <f>(C14/150)*'PANEL DE CONTROL'!$C$8</f>
        <v>150</v>
      </c>
      <c r="G14" s="30">
        <f>(D14/250)*'PANEL DE CONTROL'!$C$9</f>
        <v>200</v>
      </c>
      <c r="H14" s="30">
        <f t="shared" si="1"/>
        <v>950</v>
      </c>
      <c r="I14" s="30">
        <f>IF(Datos!K14&gt;30,'PANEL DE CONTROL'!$D$14,0)+IF(Datos!M14&gt;80,'PANEL DE CONTROL'!$D$15,0)</f>
        <v>0</v>
      </c>
      <c r="J14" s="30">
        <f>IF(Datos!L14&lt;10,'PANEL DE CONTROL'!$D$16,0)+IF(Datos!N14&gt;24,'PANEL DE CONTROL'!$D$17,0)</f>
        <v>0</v>
      </c>
      <c r="K14" s="30">
        <f t="shared" si="2"/>
        <v>950</v>
      </c>
      <c r="L14" s="30">
        <f>Datos!G14</f>
        <v>903.93</v>
      </c>
      <c r="M14" s="30">
        <f>IF(Datos!O14="muy_nuevo",'PANEL DE CONTROL'!$C$22,IF(Datos!O14="nuevo",'PANEL DE CONTROL'!$C$23,IF(Datos!O14="intermedio",'PANEL DE CONTROL'!$C$24,IF(Datos!O14="establecido",'PANEL DE CONTROL'!$C$25,'PANEL DE CONTROL'!$C$26))))</f>
        <v>0.6</v>
      </c>
      <c r="N14" s="30">
        <f>IF(Datos!J14&gt;=20,0.1,IF(Datos!J14&lt;5,-0.1,0))</f>
        <v>0.1</v>
      </c>
      <c r="O14" s="30">
        <f t="shared" si="3"/>
        <v>0.7</v>
      </c>
      <c r="P14" s="30">
        <f t="shared" si="4"/>
        <v>936.179</v>
      </c>
      <c r="Q14" s="30" t="str">
        <f>IF(P14&gt;='PANEL DE CONTROL'!$B$30,"A+",IF(P14&gt;='PANEL DE CONTROL'!$B$31,"A",IF(P14&gt;='PANEL DE CONTROL'!$B$32,"A-",IF(P14&gt;='PANEL DE CONTROL'!$B$33,"B+",IF(P14&gt;='PANEL DE CONTROL'!$B$34,"B",IF(P14&gt;='PANEL DE CONTROL'!$B$35,"B-",IF(P14&gt;='PANEL DE CONTROL'!$B$36,"C+",IF(P14&gt;='PANEL DE CONTROL'!$B$37,"C",IF(P14&gt;='PANEL DE CONTROL'!$B$38,"C-",IF(P14&gt;='PANEL DE CONTROL'!$B$39,"D+",IF(P14&gt;='PANEL DE CONTROL'!$B$40,"D","F")))))))))))</f>
        <v>A+</v>
      </c>
      <c r="R14" s="30" t="str">
        <f>Datos!I14</f>
        <v>A+</v>
      </c>
      <c r="S14" s="30">
        <f>P14-Datos!H14</f>
        <v>4.609</v>
      </c>
      <c r="T14" s="30" t="str">
        <f t="shared" si="5"/>
        <v>Igual</v>
      </c>
      <c r="U14" s="30" t="str">
        <f>Datos!O14</f>
        <v>establecido</v>
      </c>
      <c r="V14" s="30" t="str">
        <f>Datos!Q14</f>
        <v>excelente</v>
      </c>
    </row>
    <row r="15">
      <c r="A15" s="30">
        <f>Datos!A15</f>
        <v>56793551</v>
      </c>
      <c r="B15" s="30">
        <f>Datos!B15</f>
        <v>600</v>
      </c>
      <c r="C15" s="30">
        <f>Datos!C15</f>
        <v>150</v>
      </c>
      <c r="D15" s="30">
        <f>Datos!D15</f>
        <v>200</v>
      </c>
      <c r="E15" s="30">
        <f>(B15/600)*'PANEL DE CONTROL'!$C$7</f>
        <v>600</v>
      </c>
      <c r="F15" s="30">
        <f>(C15/150)*'PANEL DE CONTROL'!$C$8</f>
        <v>150</v>
      </c>
      <c r="G15" s="30">
        <f>(D15/250)*'PANEL DE CONTROL'!$C$9</f>
        <v>200</v>
      </c>
      <c r="H15" s="30">
        <f t="shared" si="1"/>
        <v>950</v>
      </c>
      <c r="I15" s="30">
        <f>IF(Datos!K15&gt;30,'PANEL DE CONTROL'!$D$14,0)+IF(Datos!M15&gt;80,'PANEL DE CONTROL'!$D$15,0)</f>
        <v>0</v>
      </c>
      <c r="J15" s="30">
        <f>IF(Datos!L15&lt;10,'PANEL DE CONTROL'!$D$16,0)+IF(Datos!N15&gt;24,'PANEL DE CONTROL'!$D$17,0)</f>
        <v>0</v>
      </c>
      <c r="K15" s="30">
        <f t="shared" si="2"/>
        <v>950</v>
      </c>
      <c r="L15" s="30">
        <f>Datos!G15</f>
        <v>850.7</v>
      </c>
      <c r="M15" s="30">
        <f>IF(Datos!O15="muy_nuevo",'PANEL DE CONTROL'!$C$22,IF(Datos!O15="nuevo",'PANEL DE CONTROL'!$C$23,IF(Datos!O15="intermedio",'PANEL DE CONTROL'!$C$24,IF(Datos!O15="establecido",'PANEL DE CONTROL'!$C$25,'PANEL DE CONTROL'!$C$26))))</f>
        <v>0.7</v>
      </c>
      <c r="N15" s="30">
        <f>IF(Datos!J15&gt;=20,0.1,IF(Datos!J15&lt;5,-0.1,0))</f>
        <v>0</v>
      </c>
      <c r="O15" s="30">
        <f t="shared" si="3"/>
        <v>0.7</v>
      </c>
      <c r="P15" s="30">
        <f t="shared" si="4"/>
        <v>920.21</v>
      </c>
      <c r="Q15" s="30" t="str">
        <f>IF(P15&gt;='PANEL DE CONTROL'!$B$30,"A+",IF(P15&gt;='PANEL DE CONTROL'!$B$31,"A",IF(P15&gt;='PANEL DE CONTROL'!$B$32,"A-",IF(P15&gt;='PANEL DE CONTROL'!$B$33,"B+",IF(P15&gt;='PANEL DE CONTROL'!$B$34,"B",IF(P15&gt;='PANEL DE CONTROL'!$B$35,"B-",IF(P15&gt;='PANEL DE CONTROL'!$B$36,"C+",IF(P15&gt;='PANEL DE CONTROL'!$B$37,"C",IF(P15&gt;='PANEL DE CONTROL'!$B$38,"C-",IF(P15&gt;='PANEL DE CONTROL'!$B$39,"D+",IF(P15&gt;='PANEL DE CONTROL'!$B$40,"D","F")))))))))))</f>
        <v>A+</v>
      </c>
      <c r="R15" s="30" t="str">
        <f>Datos!I15</f>
        <v>A+</v>
      </c>
      <c r="S15" s="30">
        <f>P15-Datos!H15</f>
        <v>0</v>
      </c>
      <c r="T15" s="30" t="str">
        <f t="shared" si="5"/>
        <v>Igual</v>
      </c>
      <c r="U15" s="30" t="str">
        <f>Datos!O15</f>
        <v>maduro</v>
      </c>
      <c r="V15" s="30" t="str">
        <f>Datos!Q15</f>
        <v>excelente</v>
      </c>
    </row>
    <row r="16">
      <c r="A16" s="30">
        <f>Datos!A16</f>
        <v>69658225</v>
      </c>
      <c r="B16" s="30">
        <f>Datos!B16</f>
        <v>600</v>
      </c>
      <c r="C16" s="30">
        <f>Datos!C16</f>
        <v>150</v>
      </c>
      <c r="D16" s="30">
        <f>Datos!D16</f>
        <v>200</v>
      </c>
      <c r="E16" s="30">
        <f>(B16/600)*'PANEL DE CONTROL'!$C$7</f>
        <v>600</v>
      </c>
      <c r="F16" s="30">
        <f>(C16/150)*'PANEL DE CONTROL'!$C$8</f>
        <v>150</v>
      </c>
      <c r="G16" s="30">
        <f>(D16/250)*'PANEL DE CONTROL'!$C$9</f>
        <v>200</v>
      </c>
      <c r="H16" s="30">
        <f t="shared" si="1"/>
        <v>950</v>
      </c>
      <c r="I16" s="30">
        <f>IF(Datos!K16&gt;30,'PANEL DE CONTROL'!$D$14,0)+IF(Datos!M16&gt;80,'PANEL DE CONTROL'!$D$15,0)</f>
        <v>0</v>
      </c>
      <c r="J16" s="30">
        <f>IF(Datos!L16&lt;10,'PANEL DE CONTROL'!$D$16,0)+IF(Datos!N16&gt;24,'PANEL DE CONTROL'!$D$17,0)</f>
        <v>0</v>
      </c>
      <c r="K16" s="30">
        <f t="shared" si="2"/>
        <v>950</v>
      </c>
      <c r="L16" s="30">
        <f>Datos!G16</f>
        <v>920.3</v>
      </c>
      <c r="M16" s="30">
        <f>IF(Datos!O16="muy_nuevo",'PANEL DE CONTROL'!$C$22,IF(Datos!O16="nuevo",'PANEL DE CONTROL'!$C$23,IF(Datos!O16="intermedio",'PANEL DE CONTROL'!$C$24,IF(Datos!O16="establecido",'PANEL DE CONTROL'!$C$25,'PANEL DE CONTROL'!$C$26))))</f>
        <v>0.7</v>
      </c>
      <c r="N16" s="30">
        <f>IF(Datos!J16&gt;=20,0.1,IF(Datos!J16&lt;5,-0.1,0))</f>
        <v>0</v>
      </c>
      <c r="O16" s="30">
        <f t="shared" si="3"/>
        <v>0.7</v>
      </c>
      <c r="P16" s="30">
        <f t="shared" si="4"/>
        <v>941.09</v>
      </c>
      <c r="Q16" s="30" t="str">
        <f>IF(P16&gt;='PANEL DE CONTROL'!$B$30,"A+",IF(P16&gt;='PANEL DE CONTROL'!$B$31,"A",IF(P16&gt;='PANEL DE CONTROL'!$B$32,"A-",IF(P16&gt;='PANEL DE CONTROL'!$B$33,"B+",IF(P16&gt;='PANEL DE CONTROL'!$B$34,"B",IF(P16&gt;='PANEL DE CONTROL'!$B$35,"B-",IF(P16&gt;='PANEL DE CONTROL'!$B$36,"C+",IF(P16&gt;='PANEL DE CONTROL'!$B$37,"C",IF(P16&gt;='PANEL DE CONTROL'!$B$38,"C-",IF(P16&gt;='PANEL DE CONTROL'!$B$39,"D+",IF(P16&gt;='PANEL DE CONTROL'!$B$40,"D","F")))))))))))</f>
        <v>A+</v>
      </c>
      <c r="R16" s="30" t="str">
        <f>Datos!I16</f>
        <v>A+</v>
      </c>
      <c r="S16" s="30">
        <f>P16-Datos!H16</f>
        <v>0</v>
      </c>
      <c r="T16" s="30" t="str">
        <f t="shared" si="5"/>
        <v>Igual</v>
      </c>
      <c r="U16" s="30" t="str">
        <f>Datos!O16</f>
        <v>maduro</v>
      </c>
      <c r="V16" s="30" t="str">
        <f>Datos!Q16</f>
        <v>excelente</v>
      </c>
    </row>
    <row r="17">
      <c r="A17" s="30">
        <f>Datos!A17</f>
        <v>28567316</v>
      </c>
      <c r="B17" s="30">
        <f>Datos!B17</f>
        <v>530</v>
      </c>
      <c r="C17" s="30">
        <f>Datos!C17</f>
        <v>150</v>
      </c>
      <c r="D17" s="30">
        <f>Datos!D17</f>
        <v>200</v>
      </c>
      <c r="E17" s="30">
        <f>(B17/600)*'PANEL DE CONTROL'!$C$7</f>
        <v>530</v>
      </c>
      <c r="F17" s="30">
        <f>(C17/150)*'PANEL DE CONTROL'!$C$8</f>
        <v>150</v>
      </c>
      <c r="G17" s="30">
        <f>(D17/250)*'PANEL DE CONTROL'!$C$9</f>
        <v>200</v>
      </c>
      <c r="H17" s="30">
        <f t="shared" si="1"/>
        <v>880</v>
      </c>
      <c r="I17" s="30">
        <f>IF(Datos!K17&gt;30,'PANEL DE CONTROL'!$D$14,0)+IF(Datos!M17&gt;80,'PANEL DE CONTROL'!$D$15,0)</f>
        <v>0</v>
      </c>
      <c r="J17" s="30">
        <f>IF(Datos!L17&lt;10,'PANEL DE CONTROL'!$D$16,0)+IF(Datos!N17&gt;24,'PANEL DE CONTROL'!$D$17,0)</f>
        <v>0</v>
      </c>
      <c r="K17" s="30">
        <f t="shared" si="2"/>
        <v>880</v>
      </c>
      <c r="L17" s="30">
        <f>Datos!G17</f>
        <v>891.1</v>
      </c>
      <c r="M17" s="30">
        <f>IF(Datos!O17="muy_nuevo",'PANEL DE CONTROL'!$C$22,IF(Datos!O17="nuevo",'PANEL DE CONTROL'!$C$23,IF(Datos!O17="intermedio",'PANEL DE CONTROL'!$C$24,IF(Datos!O17="establecido",'PANEL DE CONTROL'!$C$25,'PANEL DE CONTROL'!$C$26))))</f>
        <v>0.7</v>
      </c>
      <c r="N17" s="30">
        <f>IF(Datos!J17&gt;=20,0.1,IF(Datos!J17&lt;5,-0.1,0))</f>
        <v>0.1</v>
      </c>
      <c r="O17" s="30">
        <f t="shared" si="3"/>
        <v>0.8</v>
      </c>
      <c r="P17" s="30">
        <f t="shared" si="4"/>
        <v>882.22</v>
      </c>
      <c r="Q17" s="30" t="str">
        <f>IF(P17&gt;='PANEL DE CONTROL'!$B$30,"A+",IF(P17&gt;='PANEL DE CONTROL'!$B$31,"A",IF(P17&gt;='PANEL DE CONTROL'!$B$32,"A-",IF(P17&gt;='PANEL DE CONTROL'!$B$33,"B+",IF(P17&gt;='PANEL DE CONTROL'!$B$34,"B",IF(P17&gt;='PANEL DE CONTROL'!$B$35,"B-",IF(P17&gt;='PANEL DE CONTROL'!$B$36,"C+",IF(P17&gt;='PANEL DE CONTROL'!$B$37,"C",IF(P17&gt;='PANEL DE CONTROL'!$B$38,"C-",IF(P17&gt;='PANEL DE CONTROL'!$B$39,"D+",IF(P17&gt;='PANEL DE CONTROL'!$B$40,"D","F")))))))))))</f>
        <v>A</v>
      </c>
      <c r="R17" s="30" t="str">
        <f>Datos!I17</f>
        <v>A</v>
      </c>
      <c r="S17" s="30">
        <f>P17-Datos!H17</f>
        <v>-1.11</v>
      </c>
      <c r="T17" s="30" t="str">
        <f t="shared" si="5"/>
        <v>Igual</v>
      </c>
      <c r="U17" s="30" t="str">
        <f>Datos!O17</f>
        <v>maduro</v>
      </c>
      <c r="V17" s="30" t="str">
        <f>Datos!Q17</f>
        <v>excelente</v>
      </c>
    </row>
    <row r="18">
      <c r="A18" s="30">
        <f>Datos!A18</f>
        <v>61860758</v>
      </c>
      <c r="B18" s="30">
        <f>Datos!B18</f>
        <v>600</v>
      </c>
      <c r="C18" s="30">
        <f>Datos!C18</f>
        <v>150</v>
      </c>
      <c r="D18" s="30">
        <f>Datos!D18</f>
        <v>200</v>
      </c>
      <c r="E18" s="30">
        <f>(B18/600)*'PANEL DE CONTROL'!$C$7</f>
        <v>600</v>
      </c>
      <c r="F18" s="30">
        <f>(C18/150)*'PANEL DE CONTROL'!$C$8</f>
        <v>150</v>
      </c>
      <c r="G18" s="30">
        <f>(D18/250)*'PANEL DE CONTROL'!$C$9</f>
        <v>200</v>
      </c>
      <c r="H18" s="30">
        <f t="shared" si="1"/>
        <v>950</v>
      </c>
      <c r="I18" s="30">
        <f>IF(Datos!K18&gt;30,'PANEL DE CONTROL'!$D$14,0)+IF(Datos!M18&gt;80,'PANEL DE CONTROL'!$D$15,0)</f>
        <v>0</v>
      </c>
      <c r="J18" s="30">
        <f>IF(Datos!L18&lt;10,'PANEL DE CONTROL'!$D$16,0)+IF(Datos!N18&gt;24,'PANEL DE CONTROL'!$D$17,0)</f>
        <v>0</v>
      </c>
      <c r="K18" s="30">
        <f t="shared" si="2"/>
        <v>950</v>
      </c>
      <c r="L18" s="30">
        <f>Datos!G18</f>
        <v>858.09</v>
      </c>
      <c r="M18" s="30">
        <f>IF(Datos!O18="muy_nuevo",'PANEL DE CONTROL'!$C$22,IF(Datos!O18="nuevo",'PANEL DE CONTROL'!$C$23,IF(Datos!O18="intermedio",'PANEL DE CONTROL'!$C$24,IF(Datos!O18="establecido",'PANEL DE CONTROL'!$C$25,'PANEL DE CONTROL'!$C$26))))</f>
        <v>0.7</v>
      </c>
      <c r="N18" s="30">
        <f>IF(Datos!J18&gt;=20,0.1,IF(Datos!J18&lt;5,-0.1,0))</f>
        <v>0.1</v>
      </c>
      <c r="O18" s="30">
        <f t="shared" si="3"/>
        <v>0.8</v>
      </c>
      <c r="P18" s="30">
        <f t="shared" si="4"/>
        <v>931.618</v>
      </c>
      <c r="Q18" s="30" t="str">
        <f>IF(P18&gt;='PANEL DE CONTROL'!$B$30,"A+",IF(P18&gt;='PANEL DE CONTROL'!$B$31,"A",IF(P18&gt;='PANEL DE CONTROL'!$B$32,"A-",IF(P18&gt;='PANEL DE CONTROL'!$B$33,"B+",IF(P18&gt;='PANEL DE CONTROL'!$B$34,"B",IF(P18&gt;='PANEL DE CONTROL'!$B$35,"B-",IF(P18&gt;='PANEL DE CONTROL'!$B$36,"C+",IF(P18&gt;='PANEL DE CONTROL'!$B$37,"C",IF(P18&gt;='PANEL DE CONTROL'!$B$38,"C-",IF(P18&gt;='PANEL DE CONTROL'!$B$39,"D+",IF(P18&gt;='PANEL DE CONTROL'!$B$40,"D","F")))))))))))</f>
        <v>A+</v>
      </c>
      <c r="R18" s="30" t="str">
        <f>Datos!I18</f>
        <v>A+</v>
      </c>
      <c r="S18" s="30">
        <f>P18-Datos!H18</f>
        <v>9.188</v>
      </c>
      <c r="T18" s="30" t="str">
        <f t="shared" si="5"/>
        <v>Mejora</v>
      </c>
      <c r="U18" s="30" t="str">
        <f>Datos!O18</f>
        <v>maduro</v>
      </c>
      <c r="V18" s="30" t="str">
        <f>Datos!Q18</f>
        <v>excelente</v>
      </c>
    </row>
    <row r="19">
      <c r="A19" s="30">
        <f>Datos!A19</f>
        <v>53536856</v>
      </c>
      <c r="B19" s="30">
        <f>Datos!B19</f>
        <v>600</v>
      </c>
      <c r="C19" s="30">
        <f>Datos!C19</f>
        <v>150</v>
      </c>
      <c r="D19" s="30">
        <f>Datos!D19</f>
        <v>250</v>
      </c>
      <c r="E19" s="30">
        <f>(B19/600)*'PANEL DE CONTROL'!$C$7</f>
        <v>600</v>
      </c>
      <c r="F19" s="30">
        <f>(C19/150)*'PANEL DE CONTROL'!$C$8</f>
        <v>150</v>
      </c>
      <c r="G19" s="30">
        <f>(D19/250)*'PANEL DE CONTROL'!$C$9</f>
        <v>250</v>
      </c>
      <c r="H19" s="30">
        <f t="shared" si="1"/>
        <v>1000</v>
      </c>
      <c r="I19" s="30">
        <f>IF(Datos!K19&gt;30,'PANEL DE CONTROL'!$D$14,0)+IF(Datos!M19&gt;80,'PANEL DE CONTROL'!$D$15,0)</f>
        <v>0</v>
      </c>
      <c r="J19" s="30">
        <f>IF(Datos!L19&lt;10,'PANEL DE CONTROL'!$D$16,0)+IF(Datos!N19&gt;24,'PANEL DE CONTROL'!$D$17,0)</f>
        <v>0</v>
      </c>
      <c r="K19" s="30">
        <f t="shared" si="2"/>
        <v>1000</v>
      </c>
      <c r="L19" s="30">
        <f>Datos!G19</f>
        <v>865.07</v>
      </c>
      <c r="M19" s="30">
        <f>IF(Datos!O19="muy_nuevo",'PANEL DE CONTROL'!$C$22,IF(Datos!O19="nuevo",'PANEL DE CONTROL'!$C$23,IF(Datos!O19="intermedio",'PANEL DE CONTROL'!$C$24,IF(Datos!O19="establecido",'PANEL DE CONTROL'!$C$25,'PANEL DE CONTROL'!$C$26))))</f>
        <v>0.7</v>
      </c>
      <c r="N19" s="30">
        <f>IF(Datos!J19&gt;=20,0.1,IF(Datos!J19&lt;5,-0.1,0))</f>
        <v>0.1</v>
      </c>
      <c r="O19" s="30">
        <f t="shared" si="3"/>
        <v>0.8</v>
      </c>
      <c r="P19" s="30">
        <f t="shared" si="4"/>
        <v>973.014</v>
      </c>
      <c r="Q19" s="30" t="str">
        <f>IF(P19&gt;='PANEL DE CONTROL'!$B$30,"A+",IF(P19&gt;='PANEL DE CONTROL'!$B$31,"A",IF(P19&gt;='PANEL DE CONTROL'!$B$32,"A-",IF(P19&gt;='PANEL DE CONTROL'!$B$33,"B+",IF(P19&gt;='PANEL DE CONTROL'!$B$34,"B",IF(P19&gt;='PANEL DE CONTROL'!$B$35,"B-",IF(P19&gt;='PANEL DE CONTROL'!$B$36,"C+",IF(P19&gt;='PANEL DE CONTROL'!$B$37,"C",IF(P19&gt;='PANEL DE CONTROL'!$B$38,"C-",IF(P19&gt;='PANEL DE CONTROL'!$B$39,"D+",IF(P19&gt;='PANEL DE CONTROL'!$B$40,"D","F")))))))))))</f>
        <v>A+</v>
      </c>
      <c r="R19" s="30" t="str">
        <f>Datos!I19</f>
        <v>A+</v>
      </c>
      <c r="S19" s="30">
        <f>P19-Datos!H19</f>
        <v>13.494</v>
      </c>
      <c r="T19" s="30" t="str">
        <f t="shared" si="5"/>
        <v>Mejora</v>
      </c>
      <c r="U19" s="30" t="str">
        <f>Datos!O19</f>
        <v>maduro</v>
      </c>
      <c r="V19" s="30" t="str">
        <f>Datos!Q19</f>
        <v>excelente</v>
      </c>
    </row>
    <row r="20">
      <c r="A20" s="30">
        <f>Datos!A20</f>
        <v>78113060</v>
      </c>
      <c r="B20" s="30">
        <f>Datos!B20</f>
        <v>530</v>
      </c>
      <c r="C20" s="30">
        <f>Datos!C20</f>
        <v>150</v>
      </c>
      <c r="D20" s="30">
        <f>Datos!D20</f>
        <v>250</v>
      </c>
      <c r="E20" s="30">
        <f>(B20/600)*'PANEL DE CONTROL'!$C$7</f>
        <v>530</v>
      </c>
      <c r="F20" s="30">
        <f>(C20/150)*'PANEL DE CONTROL'!$C$8</f>
        <v>150</v>
      </c>
      <c r="G20" s="30">
        <f>(D20/250)*'PANEL DE CONTROL'!$C$9</f>
        <v>250</v>
      </c>
      <c r="H20" s="30">
        <f t="shared" si="1"/>
        <v>930</v>
      </c>
      <c r="I20" s="30">
        <f>IF(Datos!K20&gt;30,'PANEL DE CONTROL'!$D$14,0)+IF(Datos!M20&gt;80,'PANEL DE CONTROL'!$D$15,0)</f>
        <v>0</v>
      </c>
      <c r="J20" s="30">
        <f>IF(Datos!L20&lt;10,'PANEL DE CONTROL'!$D$16,0)+IF(Datos!N20&gt;24,'PANEL DE CONTROL'!$D$17,0)</f>
        <v>0</v>
      </c>
      <c r="K20" s="30">
        <f t="shared" si="2"/>
        <v>930</v>
      </c>
      <c r="L20" s="30">
        <f>Datos!G20</f>
        <v>859.62</v>
      </c>
      <c r="M20" s="30">
        <f>IF(Datos!O20="muy_nuevo",'PANEL DE CONTROL'!$C$22,IF(Datos!O20="nuevo",'PANEL DE CONTROL'!$C$23,IF(Datos!O20="intermedio",'PANEL DE CONTROL'!$C$24,IF(Datos!O20="establecido",'PANEL DE CONTROL'!$C$25,'PANEL DE CONTROL'!$C$26))))</f>
        <v>0.6</v>
      </c>
      <c r="N20" s="30">
        <f>IF(Datos!J20&gt;=20,0.1,IF(Datos!J20&lt;5,-0.1,0))</f>
        <v>0.1</v>
      </c>
      <c r="O20" s="30">
        <f t="shared" si="3"/>
        <v>0.7</v>
      </c>
      <c r="P20" s="30">
        <f t="shared" si="4"/>
        <v>908.886</v>
      </c>
      <c r="Q20" s="30" t="str">
        <f>IF(P20&gt;='PANEL DE CONTROL'!$B$30,"A+",IF(P20&gt;='PANEL DE CONTROL'!$B$31,"A",IF(P20&gt;='PANEL DE CONTROL'!$B$32,"A-",IF(P20&gt;='PANEL DE CONTROL'!$B$33,"B+",IF(P20&gt;='PANEL DE CONTROL'!$B$34,"B",IF(P20&gt;='PANEL DE CONTROL'!$B$35,"B-",IF(P20&gt;='PANEL DE CONTROL'!$B$36,"C+",IF(P20&gt;='PANEL DE CONTROL'!$B$37,"C",IF(P20&gt;='PANEL DE CONTROL'!$B$38,"C-",IF(P20&gt;='PANEL DE CONTROL'!$B$39,"D+",IF(P20&gt;='PANEL DE CONTROL'!$B$40,"D","F")))))))))))</f>
        <v>A+</v>
      </c>
      <c r="R20" s="30" t="str">
        <f>Datos!I20</f>
        <v>A+</v>
      </c>
      <c r="S20" s="30">
        <f>P20-Datos!H20</f>
        <v>7.036</v>
      </c>
      <c r="T20" s="30" t="str">
        <f t="shared" si="5"/>
        <v>Mejora</v>
      </c>
      <c r="U20" s="30" t="str">
        <f>Datos!O20</f>
        <v>establecido</v>
      </c>
      <c r="V20" s="30" t="str">
        <f>Datos!Q20</f>
        <v>excelente</v>
      </c>
    </row>
    <row r="21" ht="15.75" customHeight="1">
      <c r="A21" s="30">
        <f>Datos!A21</f>
        <v>46461125</v>
      </c>
      <c r="B21" s="30">
        <f>Datos!B21</f>
        <v>600</v>
      </c>
      <c r="C21" s="30">
        <f>Datos!C21</f>
        <v>150</v>
      </c>
      <c r="D21" s="30">
        <f>Datos!D21</f>
        <v>200</v>
      </c>
      <c r="E21" s="30">
        <f>(B21/600)*'PANEL DE CONTROL'!$C$7</f>
        <v>600</v>
      </c>
      <c r="F21" s="30">
        <f>(C21/150)*'PANEL DE CONTROL'!$C$8</f>
        <v>150</v>
      </c>
      <c r="G21" s="30">
        <f>(D21/250)*'PANEL DE CONTROL'!$C$9</f>
        <v>200</v>
      </c>
      <c r="H21" s="30">
        <f t="shared" si="1"/>
        <v>950</v>
      </c>
      <c r="I21" s="30">
        <f>IF(Datos!K21&gt;30,'PANEL DE CONTROL'!$D$14,0)+IF(Datos!M21&gt;80,'PANEL DE CONTROL'!$D$15,0)</f>
        <v>0</v>
      </c>
      <c r="J21" s="30">
        <f>IF(Datos!L21&lt;10,'PANEL DE CONTROL'!$D$16,0)+IF(Datos!N21&gt;24,'PANEL DE CONTROL'!$D$17,0)</f>
        <v>0</v>
      </c>
      <c r="K21" s="30">
        <f t="shared" si="2"/>
        <v>950</v>
      </c>
      <c r="L21" s="30">
        <f>Datos!G21</f>
        <v>919.58</v>
      </c>
      <c r="M21" s="30">
        <f>IF(Datos!O21="muy_nuevo",'PANEL DE CONTROL'!$C$22,IF(Datos!O21="nuevo",'PANEL DE CONTROL'!$C$23,IF(Datos!O21="intermedio",'PANEL DE CONTROL'!$C$24,IF(Datos!O21="establecido",'PANEL DE CONTROL'!$C$25,'PANEL DE CONTROL'!$C$26))))</f>
        <v>0.7</v>
      </c>
      <c r="N21" s="30">
        <f>IF(Datos!J21&gt;=20,0.1,IF(Datos!J21&lt;5,-0.1,0))</f>
        <v>0.1</v>
      </c>
      <c r="O21" s="30">
        <f t="shared" si="3"/>
        <v>0.8</v>
      </c>
      <c r="P21" s="30">
        <f t="shared" si="4"/>
        <v>943.916</v>
      </c>
      <c r="Q21" s="30" t="str">
        <f>IF(P21&gt;='PANEL DE CONTROL'!$B$30,"A+",IF(P21&gt;='PANEL DE CONTROL'!$B$31,"A",IF(P21&gt;='PANEL DE CONTROL'!$B$32,"A-",IF(P21&gt;='PANEL DE CONTROL'!$B$33,"B+",IF(P21&gt;='PANEL DE CONTROL'!$B$34,"B",IF(P21&gt;='PANEL DE CONTROL'!$B$35,"B-",IF(P21&gt;='PANEL DE CONTROL'!$B$36,"C+",IF(P21&gt;='PANEL DE CONTROL'!$B$37,"C",IF(P21&gt;='PANEL DE CONTROL'!$B$38,"C-",IF(P21&gt;='PANEL DE CONTROL'!$B$39,"D+",IF(P21&gt;='PANEL DE CONTROL'!$B$40,"D","F")))))))))))</f>
        <v>A+</v>
      </c>
      <c r="R21" s="30" t="str">
        <f>Datos!I21</f>
        <v>A+</v>
      </c>
      <c r="S21" s="30">
        <f>P21-Datos!H21</f>
        <v>3.046</v>
      </c>
      <c r="T21" s="30" t="str">
        <f t="shared" si="5"/>
        <v>Igual</v>
      </c>
      <c r="U21" s="30" t="str">
        <f>Datos!O21</f>
        <v>maduro</v>
      </c>
      <c r="V21" s="30" t="str">
        <f>Datos!Q21</f>
        <v>excelente</v>
      </c>
    </row>
    <row r="22" ht="15.75" customHeight="1">
      <c r="A22" s="30">
        <f>Datos!A22</f>
        <v>70517387</v>
      </c>
      <c r="B22" s="30">
        <f>Datos!B22</f>
        <v>600</v>
      </c>
      <c r="C22" s="30">
        <f>Datos!C22</f>
        <v>150</v>
      </c>
      <c r="D22" s="30">
        <f>Datos!D22</f>
        <v>250</v>
      </c>
      <c r="E22" s="30">
        <f>(B22/600)*'PANEL DE CONTROL'!$C$7</f>
        <v>600</v>
      </c>
      <c r="F22" s="30">
        <f>(C22/150)*'PANEL DE CONTROL'!$C$8</f>
        <v>150</v>
      </c>
      <c r="G22" s="30">
        <f>(D22/250)*'PANEL DE CONTROL'!$C$9</f>
        <v>250</v>
      </c>
      <c r="H22" s="30">
        <f t="shared" si="1"/>
        <v>1000</v>
      </c>
      <c r="I22" s="30">
        <f>IF(Datos!K22&gt;30,'PANEL DE CONTROL'!$D$14,0)+IF(Datos!M22&gt;80,'PANEL DE CONTROL'!$D$15,0)</f>
        <v>0</v>
      </c>
      <c r="J22" s="30">
        <f>IF(Datos!L22&lt;10,'PANEL DE CONTROL'!$D$16,0)+IF(Datos!N22&gt;24,'PANEL DE CONTROL'!$D$17,0)</f>
        <v>0</v>
      </c>
      <c r="K22" s="30">
        <f t="shared" si="2"/>
        <v>1000</v>
      </c>
      <c r="L22" s="30">
        <f>Datos!G22</f>
        <v>938.26</v>
      </c>
      <c r="M22" s="30">
        <f>IF(Datos!O22="muy_nuevo",'PANEL DE CONTROL'!$C$22,IF(Datos!O22="nuevo",'PANEL DE CONTROL'!$C$23,IF(Datos!O22="intermedio",'PANEL DE CONTROL'!$C$24,IF(Datos!O22="establecido",'PANEL DE CONTROL'!$C$25,'PANEL DE CONTROL'!$C$26))))</f>
        <v>0.7</v>
      </c>
      <c r="N22" s="30">
        <f>IF(Datos!J22&gt;=20,0.1,IF(Datos!J22&lt;5,-0.1,0))</f>
        <v>0.1</v>
      </c>
      <c r="O22" s="30">
        <f t="shared" si="3"/>
        <v>0.8</v>
      </c>
      <c r="P22" s="30">
        <f t="shared" si="4"/>
        <v>987.652</v>
      </c>
      <c r="Q22" s="30" t="str">
        <f>IF(P22&gt;='PANEL DE CONTROL'!$B$30,"A+",IF(P22&gt;='PANEL DE CONTROL'!$B$31,"A",IF(P22&gt;='PANEL DE CONTROL'!$B$32,"A-",IF(P22&gt;='PANEL DE CONTROL'!$B$33,"B+",IF(P22&gt;='PANEL DE CONTROL'!$B$34,"B",IF(P22&gt;='PANEL DE CONTROL'!$B$35,"B-",IF(P22&gt;='PANEL DE CONTROL'!$B$36,"C+",IF(P22&gt;='PANEL DE CONTROL'!$B$37,"C",IF(P22&gt;='PANEL DE CONTROL'!$B$38,"C-",IF(P22&gt;='PANEL DE CONTROL'!$B$39,"D+",IF(P22&gt;='PANEL DE CONTROL'!$B$40,"D","F")))))))))))</f>
        <v>A+</v>
      </c>
      <c r="R22" s="30" t="str">
        <f>Datos!I22</f>
        <v>A+</v>
      </c>
      <c r="S22" s="30">
        <f>P22-Datos!H22</f>
        <v>6.172</v>
      </c>
      <c r="T22" s="30" t="str">
        <f t="shared" si="5"/>
        <v>Mejora</v>
      </c>
      <c r="U22" s="30" t="str">
        <f>Datos!O22</f>
        <v>maduro</v>
      </c>
      <c r="V22" s="30" t="str">
        <f>Datos!Q22</f>
        <v>excelente</v>
      </c>
    </row>
    <row r="23" ht="15.75" customHeight="1">
      <c r="A23" s="30">
        <f>Datos!A23</f>
        <v>56506693</v>
      </c>
      <c r="B23" s="30">
        <f>Datos!B23</f>
        <v>600</v>
      </c>
      <c r="C23" s="30">
        <f>Datos!C23</f>
        <v>150</v>
      </c>
      <c r="D23" s="30">
        <f>Datos!D23</f>
        <v>250</v>
      </c>
      <c r="E23" s="30">
        <f>(B23/600)*'PANEL DE CONTROL'!$C$7</f>
        <v>600</v>
      </c>
      <c r="F23" s="30">
        <f>(C23/150)*'PANEL DE CONTROL'!$C$8</f>
        <v>150</v>
      </c>
      <c r="G23" s="30">
        <f>(D23/250)*'PANEL DE CONTROL'!$C$9</f>
        <v>250</v>
      </c>
      <c r="H23" s="30">
        <f t="shared" si="1"/>
        <v>1000</v>
      </c>
      <c r="I23" s="30">
        <f>IF(Datos!K23&gt;30,'PANEL DE CONTROL'!$D$14,0)+IF(Datos!M23&gt;80,'PANEL DE CONTROL'!$D$15,0)</f>
        <v>0</v>
      </c>
      <c r="J23" s="30">
        <f>IF(Datos!L23&lt;10,'PANEL DE CONTROL'!$D$16,0)+IF(Datos!N23&gt;24,'PANEL DE CONTROL'!$D$17,0)</f>
        <v>0</v>
      </c>
      <c r="K23" s="30">
        <f t="shared" si="2"/>
        <v>1000</v>
      </c>
      <c r="L23" s="30">
        <f>Datos!G23</f>
        <v>943.56</v>
      </c>
      <c r="M23" s="30">
        <f>IF(Datos!O23="muy_nuevo",'PANEL DE CONTROL'!$C$22,IF(Datos!O23="nuevo",'PANEL DE CONTROL'!$C$23,IF(Datos!O23="intermedio",'PANEL DE CONTROL'!$C$24,IF(Datos!O23="establecido",'PANEL DE CONTROL'!$C$25,'PANEL DE CONTROL'!$C$26))))</f>
        <v>0.6</v>
      </c>
      <c r="N23" s="30">
        <f>IF(Datos!J23&gt;=20,0.1,IF(Datos!J23&lt;5,-0.1,0))</f>
        <v>0.1</v>
      </c>
      <c r="O23" s="30">
        <f t="shared" si="3"/>
        <v>0.7</v>
      </c>
      <c r="P23" s="30">
        <f t="shared" si="4"/>
        <v>983.068</v>
      </c>
      <c r="Q23" s="30" t="str">
        <f>IF(P23&gt;='PANEL DE CONTROL'!$B$30,"A+",IF(P23&gt;='PANEL DE CONTROL'!$B$31,"A",IF(P23&gt;='PANEL DE CONTROL'!$B$32,"A-",IF(P23&gt;='PANEL DE CONTROL'!$B$33,"B+",IF(P23&gt;='PANEL DE CONTROL'!$B$34,"B",IF(P23&gt;='PANEL DE CONTROL'!$B$35,"B-",IF(P23&gt;='PANEL DE CONTROL'!$B$36,"C+",IF(P23&gt;='PANEL DE CONTROL'!$B$37,"C",IF(P23&gt;='PANEL DE CONTROL'!$B$38,"C-",IF(P23&gt;='PANEL DE CONTROL'!$B$39,"D+",IF(P23&gt;='PANEL DE CONTROL'!$B$40,"D","F")))))))))))</f>
        <v>A+</v>
      </c>
      <c r="R23" s="30" t="str">
        <f>Datos!I23</f>
        <v>A+</v>
      </c>
      <c r="S23" s="30">
        <f>P23-Datos!H23</f>
        <v>5.638</v>
      </c>
      <c r="T23" s="30" t="str">
        <f t="shared" si="5"/>
        <v>Mejora</v>
      </c>
      <c r="U23" s="30" t="str">
        <f>Datos!O23</f>
        <v>establecido</v>
      </c>
      <c r="V23" s="30" t="str">
        <f>Datos!Q23</f>
        <v>excelente</v>
      </c>
    </row>
    <row r="24" ht="15.75" customHeight="1">
      <c r="A24" s="30">
        <f>Datos!A24</f>
        <v>32823050</v>
      </c>
      <c r="B24" s="30">
        <f>Datos!B24</f>
        <v>600</v>
      </c>
      <c r="C24" s="30">
        <f>Datos!C24</f>
        <v>150</v>
      </c>
      <c r="D24" s="30">
        <f>Datos!D24</f>
        <v>200</v>
      </c>
      <c r="E24" s="30">
        <f>(B24/600)*'PANEL DE CONTROL'!$C$7</f>
        <v>600</v>
      </c>
      <c r="F24" s="30">
        <f>(C24/150)*'PANEL DE CONTROL'!$C$8</f>
        <v>150</v>
      </c>
      <c r="G24" s="30">
        <f>(D24/250)*'PANEL DE CONTROL'!$C$9</f>
        <v>200</v>
      </c>
      <c r="H24" s="30">
        <f t="shared" si="1"/>
        <v>950</v>
      </c>
      <c r="I24" s="30">
        <f>IF(Datos!K24&gt;30,'PANEL DE CONTROL'!$D$14,0)+IF(Datos!M24&gt;80,'PANEL DE CONTROL'!$D$15,0)</f>
        <v>0</v>
      </c>
      <c r="J24" s="30">
        <f>IF(Datos!L24&lt;10,'PANEL DE CONTROL'!$D$16,0)+IF(Datos!N24&gt;24,'PANEL DE CONTROL'!$D$17,0)</f>
        <v>0</v>
      </c>
      <c r="K24" s="30">
        <f t="shared" si="2"/>
        <v>950</v>
      </c>
      <c r="L24" s="30">
        <f>Datos!G24</f>
        <v>898.56</v>
      </c>
      <c r="M24" s="30">
        <f>IF(Datos!O24="muy_nuevo",'PANEL DE CONTROL'!$C$22,IF(Datos!O24="nuevo",'PANEL DE CONTROL'!$C$23,IF(Datos!O24="intermedio",'PANEL DE CONTROL'!$C$24,IF(Datos!O24="establecido",'PANEL DE CONTROL'!$C$25,'PANEL DE CONTROL'!$C$26))))</f>
        <v>0.7</v>
      </c>
      <c r="N24" s="30">
        <f>IF(Datos!J24&gt;=20,0.1,IF(Datos!J24&lt;5,-0.1,0))</f>
        <v>0.1</v>
      </c>
      <c r="O24" s="30">
        <f t="shared" si="3"/>
        <v>0.8</v>
      </c>
      <c r="P24" s="30">
        <f t="shared" si="4"/>
        <v>939.712</v>
      </c>
      <c r="Q24" s="30" t="str">
        <f>IF(P24&gt;='PANEL DE CONTROL'!$B$30,"A+",IF(P24&gt;='PANEL DE CONTROL'!$B$31,"A",IF(P24&gt;='PANEL DE CONTROL'!$B$32,"A-",IF(P24&gt;='PANEL DE CONTROL'!$B$33,"B+",IF(P24&gt;='PANEL DE CONTROL'!$B$34,"B",IF(P24&gt;='PANEL DE CONTROL'!$B$35,"B-",IF(P24&gt;='PANEL DE CONTROL'!$B$36,"C+",IF(P24&gt;='PANEL DE CONTROL'!$B$37,"C",IF(P24&gt;='PANEL DE CONTROL'!$B$38,"C-",IF(P24&gt;='PANEL DE CONTROL'!$B$39,"D+",IF(P24&gt;='PANEL DE CONTROL'!$B$40,"D","F")))))))))))</f>
        <v>A+</v>
      </c>
      <c r="R24" s="30" t="str">
        <f>Datos!I24</f>
        <v>A+</v>
      </c>
      <c r="S24" s="30">
        <f>P24-Datos!H24</f>
        <v>5.142</v>
      </c>
      <c r="T24" s="30" t="str">
        <f t="shared" si="5"/>
        <v>Mejora</v>
      </c>
      <c r="U24" s="30" t="str">
        <f>Datos!O24</f>
        <v>maduro</v>
      </c>
      <c r="V24" s="30" t="str">
        <f>Datos!Q24</f>
        <v>excelente</v>
      </c>
    </row>
    <row r="25" ht="15.75" customHeight="1">
      <c r="A25" s="30">
        <f>Datos!A25</f>
        <v>58739269</v>
      </c>
      <c r="B25" s="30">
        <f>Datos!B25</f>
        <v>530</v>
      </c>
      <c r="C25" s="30">
        <f>Datos!C25</f>
        <v>150</v>
      </c>
      <c r="D25" s="30">
        <f>Datos!D25</f>
        <v>250</v>
      </c>
      <c r="E25" s="30">
        <f>(B25/600)*'PANEL DE CONTROL'!$C$7</f>
        <v>530</v>
      </c>
      <c r="F25" s="30">
        <f>(C25/150)*'PANEL DE CONTROL'!$C$8</f>
        <v>150</v>
      </c>
      <c r="G25" s="30">
        <f>(D25/250)*'PANEL DE CONTROL'!$C$9</f>
        <v>250</v>
      </c>
      <c r="H25" s="30">
        <f t="shared" si="1"/>
        <v>930</v>
      </c>
      <c r="I25" s="30">
        <f>IF(Datos!K25&gt;30,'PANEL DE CONTROL'!$D$14,0)+IF(Datos!M25&gt;80,'PANEL DE CONTROL'!$D$15,0)</f>
        <v>0</v>
      </c>
      <c r="J25" s="30">
        <f>IF(Datos!L25&lt;10,'PANEL DE CONTROL'!$D$16,0)+IF(Datos!N25&gt;24,'PANEL DE CONTROL'!$D$17,0)</f>
        <v>0</v>
      </c>
      <c r="K25" s="30">
        <f t="shared" si="2"/>
        <v>930</v>
      </c>
      <c r="L25" s="30">
        <f>Datos!G25</f>
        <v>915.76</v>
      </c>
      <c r="M25" s="30">
        <f>IF(Datos!O25="muy_nuevo",'PANEL DE CONTROL'!$C$22,IF(Datos!O25="nuevo",'PANEL DE CONTROL'!$C$23,IF(Datos!O25="intermedio",'PANEL DE CONTROL'!$C$24,IF(Datos!O25="establecido",'PANEL DE CONTROL'!$C$25,'PANEL DE CONTROL'!$C$26))))</f>
        <v>0.7</v>
      </c>
      <c r="N25" s="30">
        <f>IF(Datos!J25&gt;=20,0.1,IF(Datos!J25&lt;5,-0.1,0))</f>
        <v>0</v>
      </c>
      <c r="O25" s="30">
        <f t="shared" si="3"/>
        <v>0.7</v>
      </c>
      <c r="P25" s="30">
        <f t="shared" si="4"/>
        <v>925.728</v>
      </c>
      <c r="Q25" s="30" t="str">
        <f>IF(P25&gt;='PANEL DE CONTROL'!$B$30,"A+",IF(P25&gt;='PANEL DE CONTROL'!$B$31,"A",IF(P25&gt;='PANEL DE CONTROL'!$B$32,"A-",IF(P25&gt;='PANEL DE CONTROL'!$B$33,"B+",IF(P25&gt;='PANEL DE CONTROL'!$B$34,"B",IF(P25&gt;='PANEL DE CONTROL'!$B$35,"B-",IF(P25&gt;='PANEL DE CONTROL'!$B$36,"C+",IF(P25&gt;='PANEL DE CONTROL'!$B$37,"C",IF(P25&gt;='PANEL DE CONTROL'!$B$38,"C-",IF(P25&gt;='PANEL DE CONTROL'!$B$39,"D+",IF(P25&gt;='PANEL DE CONTROL'!$B$40,"D","F")))))))))))</f>
        <v>A+</v>
      </c>
      <c r="R25" s="30" t="str">
        <f>Datos!I25</f>
        <v>A+</v>
      </c>
      <c r="S25" s="30">
        <f>P25-Datos!H25</f>
        <v>-0.002</v>
      </c>
      <c r="T25" s="30" t="str">
        <f t="shared" si="5"/>
        <v>Igual</v>
      </c>
      <c r="U25" s="30" t="str">
        <f>Datos!O25</f>
        <v>maduro</v>
      </c>
      <c r="V25" s="30" t="str">
        <f>Datos!Q25</f>
        <v>excelente</v>
      </c>
    </row>
    <row r="26" ht="15.75" customHeight="1">
      <c r="A26" s="30">
        <f>Datos!A26</f>
        <v>69736690</v>
      </c>
      <c r="B26" s="30">
        <f>Datos!B26</f>
        <v>600</v>
      </c>
      <c r="C26" s="30">
        <f>Datos!C26</f>
        <v>150</v>
      </c>
      <c r="D26" s="30">
        <f>Datos!D26</f>
        <v>200</v>
      </c>
      <c r="E26" s="30">
        <f>(B26/600)*'PANEL DE CONTROL'!$C$7</f>
        <v>600</v>
      </c>
      <c r="F26" s="30">
        <f>(C26/150)*'PANEL DE CONTROL'!$C$8</f>
        <v>150</v>
      </c>
      <c r="G26" s="30">
        <f>(D26/250)*'PANEL DE CONTROL'!$C$9</f>
        <v>200</v>
      </c>
      <c r="H26" s="30">
        <f t="shared" si="1"/>
        <v>950</v>
      </c>
      <c r="I26" s="30">
        <f>IF(Datos!K26&gt;30,'PANEL DE CONTROL'!$D$14,0)+IF(Datos!M26&gt;80,'PANEL DE CONTROL'!$D$15,0)</f>
        <v>0</v>
      </c>
      <c r="J26" s="30">
        <f>IF(Datos!L26&lt;10,'PANEL DE CONTROL'!$D$16,0)+IF(Datos!N26&gt;24,'PANEL DE CONTROL'!$D$17,0)</f>
        <v>0</v>
      </c>
      <c r="K26" s="30">
        <f t="shared" si="2"/>
        <v>950</v>
      </c>
      <c r="L26" s="30">
        <f>Datos!G26</f>
        <v>913.11</v>
      </c>
      <c r="M26" s="30">
        <f>IF(Datos!O26="muy_nuevo",'PANEL DE CONTROL'!$C$22,IF(Datos!O26="nuevo",'PANEL DE CONTROL'!$C$23,IF(Datos!O26="intermedio",'PANEL DE CONTROL'!$C$24,IF(Datos!O26="establecido",'PANEL DE CONTROL'!$C$25,'PANEL DE CONTROL'!$C$26))))</f>
        <v>0.6</v>
      </c>
      <c r="N26" s="30">
        <f>IF(Datos!J26&gt;=20,0.1,IF(Datos!J26&lt;5,-0.1,0))</f>
        <v>0.1</v>
      </c>
      <c r="O26" s="30">
        <f t="shared" si="3"/>
        <v>0.7</v>
      </c>
      <c r="P26" s="30">
        <f t="shared" si="4"/>
        <v>938.933</v>
      </c>
      <c r="Q26" s="30" t="str">
        <f>IF(P26&gt;='PANEL DE CONTROL'!$B$30,"A+",IF(P26&gt;='PANEL DE CONTROL'!$B$31,"A",IF(P26&gt;='PANEL DE CONTROL'!$B$32,"A-",IF(P26&gt;='PANEL DE CONTROL'!$B$33,"B+",IF(P26&gt;='PANEL DE CONTROL'!$B$34,"B",IF(P26&gt;='PANEL DE CONTROL'!$B$35,"B-",IF(P26&gt;='PANEL DE CONTROL'!$B$36,"C+",IF(P26&gt;='PANEL DE CONTROL'!$B$37,"C",IF(P26&gt;='PANEL DE CONTROL'!$B$38,"C-",IF(P26&gt;='PANEL DE CONTROL'!$B$39,"D+",IF(P26&gt;='PANEL DE CONTROL'!$B$40,"D","F")))))))))))</f>
        <v>A+</v>
      </c>
      <c r="R26" s="30" t="str">
        <f>Datos!I26</f>
        <v>A+</v>
      </c>
      <c r="S26" s="30">
        <f>P26-Datos!H26</f>
        <v>3.683</v>
      </c>
      <c r="T26" s="30" t="str">
        <f t="shared" si="5"/>
        <v>Igual</v>
      </c>
      <c r="U26" s="30" t="str">
        <f>Datos!O26</f>
        <v>establecido</v>
      </c>
      <c r="V26" s="30" t="str">
        <f>Datos!Q26</f>
        <v>excelente</v>
      </c>
    </row>
    <row r="27" ht="15.75" customHeight="1">
      <c r="A27" s="30">
        <f>Datos!A27</f>
        <v>40049387</v>
      </c>
      <c r="B27" s="30">
        <f>Datos!B27</f>
        <v>600</v>
      </c>
      <c r="C27" s="30">
        <f>Datos!C27</f>
        <v>150</v>
      </c>
      <c r="D27" s="30">
        <f>Datos!D27</f>
        <v>250</v>
      </c>
      <c r="E27" s="30">
        <f>(B27/600)*'PANEL DE CONTROL'!$C$7</f>
        <v>600</v>
      </c>
      <c r="F27" s="30">
        <f>(C27/150)*'PANEL DE CONTROL'!$C$8</f>
        <v>150</v>
      </c>
      <c r="G27" s="30">
        <f>(D27/250)*'PANEL DE CONTROL'!$C$9</f>
        <v>250</v>
      </c>
      <c r="H27" s="30">
        <f t="shared" si="1"/>
        <v>1000</v>
      </c>
      <c r="I27" s="30">
        <f>IF(Datos!K27&gt;30,'PANEL DE CONTROL'!$D$14,0)+IF(Datos!M27&gt;80,'PANEL DE CONTROL'!$D$15,0)</f>
        <v>0</v>
      </c>
      <c r="J27" s="30">
        <f>IF(Datos!L27&lt;10,'PANEL DE CONTROL'!$D$16,0)+IF(Datos!N27&gt;24,'PANEL DE CONTROL'!$D$17,0)</f>
        <v>0</v>
      </c>
      <c r="K27" s="30">
        <f t="shared" si="2"/>
        <v>1000</v>
      </c>
      <c r="L27" s="30">
        <f>Datos!G27</f>
        <v>914.55</v>
      </c>
      <c r="M27" s="30">
        <f>IF(Datos!O27="muy_nuevo",'PANEL DE CONTROL'!$C$22,IF(Datos!O27="nuevo",'PANEL DE CONTROL'!$C$23,IF(Datos!O27="intermedio",'PANEL DE CONTROL'!$C$24,IF(Datos!O27="establecido",'PANEL DE CONTROL'!$C$25,'PANEL DE CONTROL'!$C$26))))</f>
        <v>0.7</v>
      </c>
      <c r="N27" s="30">
        <f>IF(Datos!J27&gt;=20,0.1,IF(Datos!J27&lt;5,-0.1,0))</f>
        <v>0.1</v>
      </c>
      <c r="O27" s="30">
        <f t="shared" si="3"/>
        <v>0.8</v>
      </c>
      <c r="P27" s="30">
        <f t="shared" si="4"/>
        <v>982.91</v>
      </c>
      <c r="Q27" s="30" t="str">
        <f>IF(P27&gt;='PANEL DE CONTROL'!$B$30,"A+",IF(P27&gt;='PANEL DE CONTROL'!$B$31,"A",IF(P27&gt;='PANEL DE CONTROL'!$B$32,"A-",IF(P27&gt;='PANEL DE CONTROL'!$B$33,"B+",IF(P27&gt;='PANEL DE CONTROL'!$B$34,"B",IF(P27&gt;='PANEL DE CONTROL'!$B$35,"B-",IF(P27&gt;='PANEL DE CONTROL'!$B$36,"C+",IF(P27&gt;='PANEL DE CONTROL'!$B$37,"C",IF(P27&gt;='PANEL DE CONTROL'!$B$38,"C-",IF(P27&gt;='PANEL DE CONTROL'!$B$39,"D+",IF(P27&gt;='PANEL DE CONTROL'!$B$40,"D","F")))))))))))</f>
        <v>A+</v>
      </c>
      <c r="R27" s="30" t="str">
        <f>Datos!I27</f>
        <v>A+</v>
      </c>
      <c r="S27" s="30">
        <f>P27-Datos!H27</f>
        <v>8.55</v>
      </c>
      <c r="T27" s="30" t="str">
        <f t="shared" si="5"/>
        <v>Mejora</v>
      </c>
      <c r="U27" s="30" t="str">
        <f>Datos!O27</f>
        <v>maduro</v>
      </c>
      <c r="V27" s="30" t="str">
        <f>Datos!Q27</f>
        <v>excelente</v>
      </c>
    </row>
    <row r="28" ht="15.75" customHeight="1">
      <c r="A28" s="30">
        <f>Datos!A28</f>
        <v>62681427</v>
      </c>
      <c r="B28" s="30">
        <f>Datos!B28</f>
        <v>600</v>
      </c>
      <c r="C28" s="30">
        <f>Datos!C28</f>
        <v>150</v>
      </c>
      <c r="D28" s="30">
        <f>Datos!D28</f>
        <v>250</v>
      </c>
      <c r="E28" s="30">
        <f>(B28/600)*'PANEL DE CONTROL'!$C$7</f>
        <v>600</v>
      </c>
      <c r="F28" s="30">
        <f>(C28/150)*'PANEL DE CONTROL'!$C$8</f>
        <v>150</v>
      </c>
      <c r="G28" s="30">
        <f>(D28/250)*'PANEL DE CONTROL'!$C$9</f>
        <v>250</v>
      </c>
      <c r="H28" s="30">
        <f t="shared" si="1"/>
        <v>1000</v>
      </c>
      <c r="I28" s="30">
        <f>IF(Datos!K28&gt;30,'PANEL DE CONTROL'!$D$14,0)+IF(Datos!M28&gt;80,'PANEL DE CONTROL'!$D$15,0)</f>
        <v>0</v>
      </c>
      <c r="J28" s="30">
        <f>IF(Datos!L28&lt;10,'PANEL DE CONTROL'!$D$16,0)+IF(Datos!N28&gt;24,'PANEL DE CONTROL'!$D$17,0)</f>
        <v>0</v>
      </c>
      <c r="K28" s="30">
        <f t="shared" si="2"/>
        <v>1000</v>
      </c>
      <c r="L28" s="30">
        <f>Datos!G28</f>
        <v>946.67</v>
      </c>
      <c r="M28" s="30">
        <f>IF(Datos!O28="muy_nuevo",'PANEL DE CONTROL'!$C$22,IF(Datos!O28="nuevo",'PANEL DE CONTROL'!$C$23,IF(Datos!O28="intermedio",'PANEL DE CONTROL'!$C$24,IF(Datos!O28="establecido",'PANEL DE CONTROL'!$C$25,'PANEL DE CONTROL'!$C$26))))</f>
        <v>0.6</v>
      </c>
      <c r="N28" s="30">
        <f>IF(Datos!J28&gt;=20,0.1,IF(Datos!J28&lt;5,-0.1,0))</f>
        <v>0.1</v>
      </c>
      <c r="O28" s="30">
        <f t="shared" si="3"/>
        <v>0.7</v>
      </c>
      <c r="P28" s="30">
        <f t="shared" si="4"/>
        <v>984.001</v>
      </c>
      <c r="Q28" s="30" t="str">
        <f>IF(P28&gt;='PANEL DE CONTROL'!$B$30,"A+",IF(P28&gt;='PANEL DE CONTROL'!$B$31,"A",IF(P28&gt;='PANEL DE CONTROL'!$B$32,"A-",IF(P28&gt;='PANEL DE CONTROL'!$B$33,"B+",IF(P28&gt;='PANEL DE CONTROL'!$B$34,"B",IF(P28&gt;='PANEL DE CONTROL'!$B$35,"B-",IF(P28&gt;='PANEL DE CONTROL'!$B$36,"C+",IF(P28&gt;='PANEL DE CONTROL'!$B$37,"C",IF(P28&gt;='PANEL DE CONTROL'!$B$38,"C-",IF(P28&gt;='PANEL DE CONTROL'!$B$39,"D+",IF(P28&gt;='PANEL DE CONTROL'!$B$40,"D","F")))))))))))</f>
        <v>A+</v>
      </c>
      <c r="R28" s="30" t="str">
        <f>Datos!I28</f>
        <v>A+</v>
      </c>
      <c r="S28" s="30">
        <f>P28-Datos!H28</f>
        <v>5.331</v>
      </c>
      <c r="T28" s="30" t="str">
        <f t="shared" si="5"/>
        <v>Mejora</v>
      </c>
      <c r="U28" s="30" t="str">
        <f>Datos!O28</f>
        <v>establecido</v>
      </c>
      <c r="V28" s="30" t="str">
        <f>Datos!Q28</f>
        <v>excelente</v>
      </c>
    </row>
    <row r="29" ht="15.75" customHeight="1">
      <c r="A29" s="30">
        <f>Datos!A29</f>
        <v>20813392</v>
      </c>
      <c r="B29" s="30">
        <f>Datos!B29</f>
        <v>530</v>
      </c>
      <c r="C29" s="30">
        <f>Datos!C29</f>
        <v>150</v>
      </c>
      <c r="D29" s="30">
        <f>Datos!D29</f>
        <v>200</v>
      </c>
      <c r="E29" s="30">
        <f>(B29/600)*'PANEL DE CONTROL'!$C$7</f>
        <v>530</v>
      </c>
      <c r="F29" s="30">
        <f>(C29/150)*'PANEL DE CONTROL'!$C$8</f>
        <v>150</v>
      </c>
      <c r="G29" s="30">
        <f>(D29/250)*'PANEL DE CONTROL'!$C$9</f>
        <v>200</v>
      </c>
      <c r="H29" s="30">
        <f t="shared" si="1"/>
        <v>880</v>
      </c>
      <c r="I29" s="30">
        <f>IF(Datos!K29&gt;30,'PANEL DE CONTROL'!$D$14,0)+IF(Datos!M29&gt;80,'PANEL DE CONTROL'!$D$15,0)</f>
        <v>0</v>
      </c>
      <c r="J29" s="30">
        <f>IF(Datos!L29&lt;10,'PANEL DE CONTROL'!$D$16,0)+IF(Datos!N29&gt;24,'PANEL DE CONTROL'!$D$17,0)</f>
        <v>0</v>
      </c>
      <c r="K29" s="30">
        <f t="shared" si="2"/>
        <v>880</v>
      </c>
      <c r="L29" s="30">
        <f>Datos!G29</f>
        <v>943.62</v>
      </c>
      <c r="M29" s="30">
        <f>IF(Datos!O29="muy_nuevo",'PANEL DE CONTROL'!$C$22,IF(Datos!O29="nuevo",'PANEL DE CONTROL'!$C$23,IF(Datos!O29="intermedio",'PANEL DE CONTROL'!$C$24,IF(Datos!O29="establecido",'PANEL DE CONTROL'!$C$25,'PANEL DE CONTROL'!$C$26))))</f>
        <v>0.6</v>
      </c>
      <c r="N29" s="30">
        <f>IF(Datos!J29&gt;=20,0.1,IF(Datos!J29&lt;5,-0.1,0))</f>
        <v>0.1</v>
      </c>
      <c r="O29" s="30">
        <f t="shared" si="3"/>
        <v>0.7</v>
      </c>
      <c r="P29" s="30">
        <f t="shared" si="4"/>
        <v>899.086</v>
      </c>
      <c r="Q29" s="30" t="str">
        <f>IF(P29&gt;='PANEL DE CONTROL'!$B$30,"A+",IF(P29&gt;='PANEL DE CONTROL'!$B$31,"A",IF(P29&gt;='PANEL DE CONTROL'!$B$32,"A-",IF(P29&gt;='PANEL DE CONTROL'!$B$33,"B+",IF(P29&gt;='PANEL DE CONTROL'!$B$34,"B",IF(P29&gt;='PANEL DE CONTROL'!$B$35,"B-",IF(P29&gt;='PANEL DE CONTROL'!$B$36,"C+",IF(P29&gt;='PANEL DE CONTROL'!$B$37,"C",IF(P29&gt;='PANEL DE CONTROL'!$B$38,"C-",IF(P29&gt;='PANEL DE CONTROL'!$B$39,"D+",IF(P29&gt;='PANEL DE CONTROL'!$B$40,"D","F")))))))))))</f>
        <v>A</v>
      </c>
      <c r="R29" s="30" t="str">
        <f>Datos!I29</f>
        <v>A+</v>
      </c>
      <c r="S29" s="30">
        <f>P29-Datos!H29</f>
        <v>-6.364</v>
      </c>
      <c r="T29" s="30" t="str">
        <f t="shared" si="5"/>
        <v>Empeora</v>
      </c>
      <c r="U29" s="30" t="str">
        <f>Datos!O29</f>
        <v>establecido</v>
      </c>
      <c r="V29" s="30" t="str">
        <f>Datos!Q29</f>
        <v>excelente</v>
      </c>
    </row>
    <row r="30" ht="15.75" customHeight="1">
      <c r="A30" s="30">
        <f>Datos!A30</f>
        <v>46083968</v>
      </c>
      <c r="B30" s="30">
        <f>Datos!B30</f>
        <v>530</v>
      </c>
      <c r="C30" s="30">
        <f>Datos!C30</f>
        <v>150</v>
      </c>
      <c r="D30" s="30">
        <f>Datos!D30</f>
        <v>250</v>
      </c>
      <c r="E30" s="30">
        <f>(B30/600)*'PANEL DE CONTROL'!$C$7</f>
        <v>530</v>
      </c>
      <c r="F30" s="30">
        <f>(C30/150)*'PANEL DE CONTROL'!$C$8</f>
        <v>150</v>
      </c>
      <c r="G30" s="30">
        <f>(D30/250)*'PANEL DE CONTROL'!$C$9</f>
        <v>250</v>
      </c>
      <c r="H30" s="30">
        <f t="shared" si="1"/>
        <v>930</v>
      </c>
      <c r="I30" s="30">
        <f>IF(Datos!K30&gt;30,'PANEL DE CONTROL'!$D$14,0)+IF(Datos!M30&gt;80,'PANEL DE CONTROL'!$D$15,0)</f>
        <v>0</v>
      </c>
      <c r="J30" s="30">
        <f>IF(Datos!L30&lt;10,'PANEL DE CONTROL'!$D$16,0)+IF(Datos!N30&gt;24,'PANEL DE CONTROL'!$D$17,0)</f>
        <v>0</v>
      </c>
      <c r="K30" s="30">
        <f t="shared" si="2"/>
        <v>930</v>
      </c>
      <c r="L30" s="30">
        <f>Datos!G30</f>
        <v>924.08</v>
      </c>
      <c r="M30" s="30">
        <f>IF(Datos!O30="muy_nuevo",'PANEL DE CONTROL'!$C$22,IF(Datos!O30="nuevo",'PANEL DE CONTROL'!$C$23,IF(Datos!O30="intermedio",'PANEL DE CONTROL'!$C$24,IF(Datos!O30="establecido",'PANEL DE CONTROL'!$C$25,'PANEL DE CONTROL'!$C$26))))</f>
        <v>0.6</v>
      </c>
      <c r="N30" s="30">
        <f>IF(Datos!J30&gt;=20,0.1,IF(Datos!J30&lt;5,-0.1,0))</f>
        <v>0.1</v>
      </c>
      <c r="O30" s="30">
        <f t="shared" si="3"/>
        <v>0.7</v>
      </c>
      <c r="P30" s="30">
        <f t="shared" si="4"/>
        <v>928.224</v>
      </c>
      <c r="Q30" s="30" t="str">
        <f>IF(P30&gt;='PANEL DE CONTROL'!$B$30,"A+",IF(P30&gt;='PANEL DE CONTROL'!$B$31,"A",IF(P30&gt;='PANEL DE CONTROL'!$B$32,"A-",IF(P30&gt;='PANEL DE CONTROL'!$B$33,"B+",IF(P30&gt;='PANEL DE CONTROL'!$B$34,"B",IF(P30&gt;='PANEL DE CONTROL'!$B$35,"B-",IF(P30&gt;='PANEL DE CONTROL'!$B$36,"C+",IF(P30&gt;='PANEL DE CONTROL'!$B$37,"C",IF(P30&gt;='PANEL DE CONTROL'!$B$38,"C-",IF(P30&gt;='PANEL DE CONTROL'!$B$39,"D+",IF(P30&gt;='PANEL DE CONTROL'!$B$40,"D","F")))))))))))</f>
        <v>A+</v>
      </c>
      <c r="R30" s="30" t="str">
        <f>Datos!I30</f>
        <v>A+</v>
      </c>
      <c r="S30" s="30">
        <f>P30-Datos!H30</f>
        <v>0.594</v>
      </c>
      <c r="T30" s="30" t="str">
        <f t="shared" si="5"/>
        <v>Igual</v>
      </c>
      <c r="U30" s="30" t="str">
        <f>Datos!O30</f>
        <v>establecido</v>
      </c>
      <c r="V30" s="30" t="str">
        <f>Datos!Q30</f>
        <v>excelente</v>
      </c>
    </row>
    <row r="31" ht="15.75" customHeight="1">
      <c r="A31" s="30">
        <f>Datos!A31</f>
        <v>63291059</v>
      </c>
      <c r="B31" s="30">
        <f>Datos!B31</f>
        <v>600</v>
      </c>
      <c r="C31" s="30">
        <f>Datos!C31</f>
        <v>150</v>
      </c>
      <c r="D31" s="30">
        <f>Datos!D31</f>
        <v>200</v>
      </c>
      <c r="E31" s="30">
        <f>(B31/600)*'PANEL DE CONTROL'!$C$7</f>
        <v>600</v>
      </c>
      <c r="F31" s="30">
        <f>(C31/150)*'PANEL DE CONTROL'!$C$8</f>
        <v>150</v>
      </c>
      <c r="G31" s="30">
        <f>(D31/250)*'PANEL DE CONTROL'!$C$9</f>
        <v>200</v>
      </c>
      <c r="H31" s="30">
        <f t="shared" si="1"/>
        <v>950</v>
      </c>
      <c r="I31" s="30">
        <f>IF(Datos!K31&gt;30,'PANEL DE CONTROL'!$D$14,0)+IF(Datos!M31&gt;80,'PANEL DE CONTROL'!$D$15,0)</f>
        <v>0</v>
      </c>
      <c r="J31" s="30">
        <f>IF(Datos!L31&lt;10,'PANEL DE CONTROL'!$D$16,0)+IF(Datos!N31&gt;24,'PANEL DE CONTROL'!$D$17,0)</f>
        <v>0</v>
      </c>
      <c r="K31" s="30">
        <f t="shared" si="2"/>
        <v>950</v>
      </c>
      <c r="L31" s="30">
        <f>Datos!G31</f>
        <v>901.13</v>
      </c>
      <c r="M31" s="30">
        <f>IF(Datos!O31="muy_nuevo",'PANEL DE CONTROL'!$C$22,IF(Datos!O31="nuevo",'PANEL DE CONTROL'!$C$23,IF(Datos!O31="intermedio",'PANEL DE CONTROL'!$C$24,IF(Datos!O31="establecido",'PANEL DE CONTROL'!$C$25,'PANEL DE CONTROL'!$C$26))))</f>
        <v>0.7</v>
      </c>
      <c r="N31" s="30">
        <f>IF(Datos!J31&gt;=20,0.1,IF(Datos!J31&lt;5,-0.1,0))</f>
        <v>0.1</v>
      </c>
      <c r="O31" s="30">
        <f t="shared" si="3"/>
        <v>0.8</v>
      </c>
      <c r="P31" s="30">
        <f t="shared" si="4"/>
        <v>940.226</v>
      </c>
      <c r="Q31" s="30" t="str">
        <f>IF(P31&gt;='PANEL DE CONTROL'!$B$30,"A+",IF(P31&gt;='PANEL DE CONTROL'!$B$31,"A",IF(P31&gt;='PANEL DE CONTROL'!$B$32,"A-",IF(P31&gt;='PANEL DE CONTROL'!$B$33,"B+",IF(P31&gt;='PANEL DE CONTROL'!$B$34,"B",IF(P31&gt;='PANEL DE CONTROL'!$B$35,"B-",IF(P31&gt;='PANEL DE CONTROL'!$B$36,"C+",IF(P31&gt;='PANEL DE CONTROL'!$B$37,"C",IF(P31&gt;='PANEL DE CONTROL'!$B$38,"C-",IF(P31&gt;='PANEL DE CONTROL'!$B$39,"D+",IF(P31&gt;='PANEL DE CONTROL'!$B$40,"D","F")))))))))))</f>
        <v>A+</v>
      </c>
      <c r="R31" s="30" t="str">
        <f>Datos!I31</f>
        <v>A+</v>
      </c>
      <c r="S31" s="30">
        <f>P31-Datos!H31</f>
        <v>4.886</v>
      </c>
      <c r="T31" s="30" t="str">
        <f t="shared" si="5"/>
        <v>Igual</v>
      </c>
      <c r="U31" s="30" t="str">
        <f>Datos!O31</f>
        <v>maduro</v>
      </c>
      <c r="V31" s="30" t="str">
        <f>Datos!Q31</f>
        <v>excelente</v>
      </c>
    </row>
    <row r="32" ht="15.75" customHeight="1">
      <c r="A32" s="30">
        <f>Datos!A32</f>
        <v>64125000</v>
      </c>
      <c r="B32" s="30">
        <f>Datos!B32</f>
        <v>300</v>
      </c>
      <c r="C32" s="30">
        <f>Datos!C32</f>
        <v>100</v>
      </c>
      <c r="D32" s="30">
        <f>Datos!D32</f>
        <v>125</v>
      </c>
      <c r="E32" s="30">
        <f>(B32/600)*'PANEL DE CONTROL'!$C$7</f>
        <v>300</v>
      </c>
      <c r="F32" s="30">
        <f>(C32/150)*'PANEL DE CONTROL'!$C$8</f>
        <v>100</v>
      </c>
      <c r="G32" s="30">
        <f>(D32/250)*'PANEL DE CONTROL'!$C$9</f>
        <v>125</v>
      </c>
      <c r="H32" s="30">
        <f t="shared" si="1"/>
        <v>525</v>
      </c>
      <c r="I32" s="30">
        <f>IF(Datos!K32&gt;30,'PANEL DE CONTROL'!$D$14,0)+IF(Datos!M32&gt;80,'PANEL DE CONTROL'!$D$15,0)</f>
        <v>0</v>
      </c>
      <c r="J32" s="30">
        <f>IF(Datos!L32&lt;10,'PANEL DE CONTROL'!$D$16,0)+IF(Datos!N32&gt;24,'PANEL DE CONTROL'!$D$17,0)</f>
        <v>0</v>
      </c>
      <c r="K32" s="30">
        <f t="shared" si="2"/>
        <v>525</v>
      </c>
      <c r="L32" s="30">
        <f>Datos!G32</f>
        <v>759.4</v>
      </c>
      <c r="M32" s="30">
        <f>IF(Datos!O32="muy_nuevo",'PANEL DE CONTROL'!$C$22,IF(Datos!O32="nuevo",'PANEL DE CONTROL'!$C$23,IF(Datos!O32="intermedio",'PANEL DE CONTROL'!$C$24,IF(Datos!O32="establecido",'PANEL DE CONTROL'!$C$25,'PANEL DE CONTROL'!$C$26))))</f>
        <v>0.5</v>
      </c>
      <c r="N32" s="30">
        <f>IF(Datos!J32&gt;=20,0.1,IF(Datos!J32&lt;5,-0.1,0))</f>
        <v>0.1</v>
      </c>
      <c r="O32" s="30">
        <f t="shared" si="3"/>
        <v>0.6</v>
      </c>
      <c r="P32" s="30">
        <f t="shared" si="4"/>
        <v>618.76</v>
      </c>
      <c r="Q32" s="30" t="str">
        <f>IF(P32&gt;='PANEL DE CONTROL'!$B$30,"A+",IF(P32&gt;='PANEL DE CONTROL'!$B$31,"A",IF(P32&gt;='PANEL DE CONTROL'!$B$32,"A-",IF(P32&gt;='PANEL DE CONTROL'!$B$33,"B+",IF(P32&gt;='PANEL DE CONTROL'!$B$34,"B",IF(P32&gt;='PANEL DE CONTROL'!$B$35,"B-",IF(P32&gt;='PANEL DE CONTROL'!$B$36,"C+",IF(P32&gt;='PANEL DE CONTROL'!$B$37,"C",IF(P32&gt;='PANEL DE CONTROL'!$B$38,"C-",IF(P32&gt;='PANEL DE CONTROL'!$B$39,"D+",IF(P32&gt;='PANEL DE CONTROL'!$B$40,"D","F")))))))))))</f>
        <v>C+</v>
      </c>
      <c r="R32" s="30" t="str">
        <f>Datos!I32</f>
        <v>C+</v>
      </c>
      <c r="S32" s="30">
        <f>P32-Datos!H32</f>
        <v>-23.44</v>
      </c>
      <c r="T32" s="30" t="str">
        <f t="shared" si="5"/>
        <v>Empeora</v>
      </c>
      <c r="U32" s="30" t="str">
        <f>Datos!O32</f>
        <v>intermedio</v>
      </c>
      <c r="V32" s="30" t="str">
        <f>Datos!Q32</f>
        <v>bueno</v>
      </c>
    </row>
    <row r="33" ht="15.75" customHeight="1">
      <c r="A33" s="30">
        <f>Datos!A33</f>
        <v>38910991</v>
      </c>
      <c r="B33" s="30">
        <f>Datos!B33</f>
        <v>450</v>
      </c>
      <c r="C33" s="30">
        <f>Datos!C33</f>
        <v>100</v>
      </c>
      <c r="D33" s="30">
        <f>Datos!D33</f>
        <v>200</v>
      </c>
      <c r="E33" s="30">
        <f>(B33/600)*'PANEL DE CONTROL'!$C$7</f>
        <v>450</v>
      </c>
      <c r="F33" s="30">
        <f>(C33/150)*'PANEL DE CONTROL'!$C$8</f>
        <v>100</v>
      </c>
      <c r="G33" s="30">
        <f>(D33/250)*'PANEL DE CONTROL'!$C$9</f>
        <v>200</v>
      </c>
      <c r="H33" s="30">
        <f t="shared" si="1"/>
        <v>750</v>
      </c>
      <c r="I33" s="30">
        <f>IF(Datos!K33&gt;30,'PANEL DE CONTROL'!$D$14,0)+IF(Datos!M33&gt;80,'PANEL DE CONTROL'!$D$15,0)</f>
        <v>0</v>
      </c>
      <c r="J33" s="30">
        <f>IF(Datos!L33&lt;10,'PANEL DE CONTROL'!$D$16,0)+IF(Datos!N33&gt;24,'PANEL DE CONTROL'!$D$17,0)</f>
        <v>0</v>
      </c>
      <c r="K33" s="30">
        <f t="shared" si="2"/>
        <v>750</v>
      </c>
      <c r="L33" s="30">
        <f>Datos!G33</f>
        <v>832.26</v>
      </c>
      <c r="M33" s="30">
        <f>IF(Datos!O33="muy_nuevo",'PANEL DE CONTROL'!$C$22,IF(Datos!O33="nuevo",'PANEL DE CONTROL'!$C$23,IF(Datos!O33="intermedio",'PANEL DE CONTROL'!$C$24,IF(Datos!O33="establecido",'PANEL DE CONTROL'!$C$25,'PANEL DE CONTROL'!$C$26))))</f>
        <v>0.6</v>
      </c>
      <c r="N33" s="30">
        <f>IF(Datos!J33&gt;=20,0.1,IF(Datos!J33&lt;5,-0.1,0))</f>
        <v>0.1</v>
      </c>
      <c r="O33" s="30">
        <f t="shared" si="3"/>
        <v>0.7</v>
      </c>
      <c r="P33" s="30">
        <f t="shared" si="4"/>
        <v>774.678</v>
      </c>
      <c r="Q33" s="30" t="str">
        <f>IF(P33&gt;='PANEL DE CONTROL'!$B$30,"A+",IF(P33&gt;='PANEL DE CONTROL'!$B$31,"A",IF(P33&gt;='PANEL DE CONTROL'!$B$32,"A-",IF(P33&gt;='PANEL DE CONTROL'!$B$33,"B+",IF(P33&gt;='PANEL DE CONTROL'!$B$34,"B",IF(P33&gt;='PANEL DE CONTROL'!$B$35,"B-",IF(P33&gt;='PANEL DE CONTROL'!$B$36,"C+",IF(P33&gt;='PANEL DE CONTROL'!$B$37,"C",IF(P33&gt;='PANEL DE CONTROL'!$B$38,"C-",IF(P33&gt;='PANEL DE CONTROL'!$B$39,"D+",IF(P33&gt;='PANEL DE CONTROL'!$B$40,"D","F")))))))))))</f>
        <v>B+</v>
      </c>
      <c r="R33" s="30" t="str">
        <f>Datos!I33</f>
        <v>B+</v>
      </c>
      <c r="S33" s="30">
        <f>P33-Datos!H33</f>
        <v>-8.222</v>
      </c>
      <c r="T33" s="30" t="str">
        <f t="shared" si="5"/>
        <v>Empeora</v>
      </c>
      <c r="U33" s="30" t="str">
        <f>Datos!O33</f>
        <v>establecido</v>
      </c>
      <c r="V33" s="30" t="str">
        <f>Datos!Q33</f>
        <v>bueno</v>
      </c>
    </row>
    <row r="34" ht="15.75" customHeight="1">
      <c r="A34" s="30">
        <f>Datos!A34</f>
        <v>77084884</v>
      </c>
      <c r="B34" s="30">
        <f>Datos!B34</f>
        <v>450</v>
      </c>
      <c r="C34" s="30">
        <f>Datos!C34</f>
        <v>150</v>
      </c>
      <c r="D34" s="30">
        <f>Datos!D34</f>
        <v>125</v>
      </c>
      <c r="E34" s="30">
        <f>(B34/600)*'PANEL DE CONTROL'!$C$7</f>
        <v>450</v>
      </c>
      <c r="F34" s="30">
        <f>(C34/150)*'PANEL DE CONTROL'!$C$8</f>
        <v>150</v>
      </c>
      <c r="G34" s="30">
        <f>(D34/250)*'PANEL DE CONTROL'!$C$9</f>
        <v>125</v>
      </c>
      <c r="H34" s="30">
        <f t="shared" si="1"/>
        <v>725</v>
      </c>
      <c r="I34" s="30">
        <f>IF(Datos!K34&gt;30,'PANEL DE CONTROL'!$D$14,0)+IF(Datos!M34&gt;80,'PANEL DE CONTROL'!$D$15,0)</f>
        <v>0</v>
      </c>
      <c r="J34" s="30">
        <f>IF(Datos!L34&lt;10,'PANEL DE CONTROL'!$D$16,0)+IF(Datos!N34&gt;24,'PANEL DE CONTROL'!$D$17,0)</f>
        <v>0</v>
      </c>
      <c r="K34" s="30">
        <f t="shared" si="2"/>
        <v>725</v>
      </c>
      <c r="L34" s="30">
        <f>Datos!G34</f>
        <v>804.06</v>
      </c>
      <c r="M34" s="30">
        <f>IF(Datos!O34="muy_nuevo",'PANEL DE CONTROL'!$C$22,IF(Datos!O34="nuevo",'PANEL DE CONTROL'!$C$23,IF(Datos!O34="intermedio",'PANEL DE CONTROL'!$C$24,IF(Datos!O34="establecido",'PANEL DE CONTROL'!$C$25,'PANEL DE CONTROL'!$C$26))))</f>
        <v>0.5</v>
      </c>
      <c r="N34" s="30">
        <f>IF(Datos!J34&gt;=20,0.1,IF(Datos!J34&lt;5,-0.1,0))</f>
        <v>0.1</v>
      </c>
      <c r="O34" s="30">
        <f t="shared" si="3"/>
        <v>0.6</v>
      </c>
      <c r="P34" s="30">
        <f t="shared" si="4"/>
        <v>756.624</v>
      </c>
      <c r="Q34" s="30" t="str">
        <f>IF(P34&gt;='PANEL DE CONTROL'!$B$30,"A+",IF(P34&gt;='PANEL DE CONTROL'!$B$31,"A",IF(P34&gt;='PANEL DE CONTROL'!$B$32,"A-",IF(P34&gt;='PANEL DE CONTROL'!$B$33,"B+",IF(P34&gt;='PANEL DE CONTROL'!$B$34,"B",IF(P34&gt;='PANEL DE CONTROL'!$B$35,"B-",IF(P34&gt;='PANEL DE CONTROL'!$B$36,"C+",IF(P34&gt;='PANEL DE CONTROL'!$B$37,"C",IF(P34&gt;='PANEL DE CONTROL'!$B$38,"C-",IF(P34&gt;='PANEL DE CONTROL'!$B$39,"D+",IF(P34&gt;='PANEL DE CONTROL'!$B$40,"D","F")))))))))))</f>
        <v>B+</v>
      </c>
      <c r="R34" s="30" t="str">
        <f>Datos!I34</f>
        <v>B+</v>
      </c>
      <c r="S34" s="30">
        <f>P34-Datos!H34</f>
        <v>-7.906</v>
      </c>
      <c r="T34" s="30" t="str">
        <f t="shared" si="5"/>
        <v>Empeora</v>
      </c>
      <c r="U34" s="30" t="str">
        <f>Datos!O34</f>
        <v>intermedio</v>
      </c>
      <c r="V34" s="30" t="str">
        <f>Datos!Q34</f>
        <v>bueno</v>
      </c>
    </row>
    <row r="35" ht="15.75" customHeight="1">
      <c r="A35" s="30">
        <f>Datos!A35</f>
        <v>81136123</v>
      </c>
      <c r="B35" s="30">
        <f>Datos!B35</f>
        <v>530</v>
      </c>
      <c r="C35" s="30">
        <f>Datos!C35</f>
        <v>150</v>
      </c>
      <c r="D35" s="30">
        <f>Datos!D35</f>
        <v>125</v>
      </c>
      <c r="E35" s="30">
        <f>(B35/600)*'PANEL DE CONTROL'!$C$7</f>
        <v>530</v>
      </c>
      <c r="F35" s="30">
        <f>(C35/150)*'PANEL DE CONTROL'!$C$8</f>
        <v>150</v>
      </c>
      <c r="G35" s="30">
        <f>(D35/250)*'PANEL DE CONTROL'!$C$9</f>
        <v>125</v>
      </c>
      <c r="H35" s="30">
        <f t="shared" si="1"/>
        <v>805</v>
      </c>
      <c r="I35" s="30">
        <f>IF(Datos!K35&gt;30,'PANEL DE CONTROL'!$D$14,0)+IF(Datos!M35&gt;80,'PANEL DE CONTROL'!$D$15,0)</f>
        <v>0</v>
      </c>
      <c r="J35" s="30">
        <f>IF(Datos!L35&lt;10,'PANEL DE CONTROL'!$D$16,0)+IF(Datos!N35&gt;24,'PANEL DE CONTROL'!$D$17,0)</f>
        <v>0</v>
      </c>
      <c r="K35" s="30">
        <f t="shared" si="2"/>
        <v>805</v>
      </c>
      <c r="L35" s="30">
        <f>Datos!G35</f>
        <v>775.09</v>
      </c>
      <c r="M35" s="30">
        <f>IF(Datos!O35="muy_nuevo",'PANEL DE CONTROL'!$C$22,IF(Datos!O35="nuevo",'PANEL DE CONTROL'!$C$23,IF(Datos!O35="intermedio",'PANEL DE CONTROL'!$C$24,IF(Datos!O35="establecido",'PANEL DE CONTROL'!$C$25,'PANEL DE CONTROL'!$C$26))))</f>
        <v>0.6</v>
      </c>
      <c r="N35" s="30">
        <f>IF(Datos!J35&gt;=20,0.1,IF(Datos!J35&lt;5,-0.1,0))</f>
        <v>0.1</v>
      </c>
      <c r="O35" s="30">
        <f t="shared" si="3"/>
        <v>0.7</v>
      </c>
      <c r="P35" s="30">
        <f t="shared" si="4"/>
        <v>796.027</v>
      </c>
      <c r="Q35" s="30" t="str">
        <f>IF(P35&gt;='PANEL DE CONTROL'!$B$30,"A+",IF(P35&gt;='PANEL DE CONTROL'!$B$31,"A",IF(P35&gt;='PANEL DE CONTROL'!$B$32,"A-",IF(P35&gt;='PANEL DE CONTROL'!$B$33,"B+",IF(P35&gt;='PANEL DE CONTROL'!$B$34,"B",IF(P35&gt;='PANEL DE CONTROL'!$B$35,"B-",IF(P35&gt;='PANEL DE CONTROL'!$B$36,"C+",IF(P35&gt;='PANEL DE CONTROL'!$B$37,"C",IF(P35&gt;='PANEL DE CONTROL'!$B$38,"C-",IF(P35&gt;='PANEL DE CONTROL'!$B$39,"D+",IF(P35&gt;='PANEL DE CONTROL'!$B$40,"D","F")))))))))))</f>
        <v>B+</v>
      </c>
      <c r="R35" s="30" t="str">
        <f>Datos!I35</f>
        <v>B+</v>
      </c>
      <c r="S35" s="30">
        <f>P35-Datos!H35</f>
        <v>2.997</v>
      </c>
      <c r="T35" s="30" t="str">
        <f t="shared" si="5"/>
        <v>Igual</v>
      </c>
      <c r="U35" s="30" t="str">
        <f>Datos!O35</f>
        <v>establecido</v>
      </c>
      <c r="V35" s="30" t="str">
        <f>Datos!Q35</f>
        <v>bueno</v>
      </c>
    </row>
    <row r="36" ht="15.75" customHeight="1">
      <c r="A36" s="30">
        <f>Datos!A36</f>
        <v>64455328</v>
      </c>
      <c r="B36" s="30">
        <f>Datos!B36</f>
        <v>450</v>
      </c>
      <c r="C36" s="30">
        <f>Datos!C36</f>
        <v>150</v>
      </c>
      <c r="D36" s="30">
        <f>Datos!D36</f>
        <v>125</v>
      </c>
      <c r="E36" s="30">
        <f>(B36/600)*'PANEL DE CONTROL'!$C$7</f>
        <v>450</v>
      </c>
      <c r="F36" s="30">
        <f>(C36/150)*'PANEL DE CONTROL'!$C$8</f>
        <v>150</v>
      </c>
      <c r="G36" s="30">
        <f>(D36/250)*'PANEL DE CONTROL'!$C$9</f>
        <v>125</v>
      </c>
      <c r="H36" s="30">
        <f t="shared" si="1"/>
        <v>725</v>
      </c>
      <c r="I36" s="30">
        <f>IF(Datos!K36&gt;30,'PANEL DE CONTROL'!$D$14,0)+IF(Datos!M36&gt;80,'PANEL DE CONTROL'!$D$15,0)</f>
        <v>0</v>
      </c>
      <c r="J36" s="30">
        <f>IF(Datos!L36&lt;10,'PANEL DE CONTROL'!$D$16,0)+IF(Datos!N36&gt;24,'PANEL DE CONTROL'!$D$17,0)</f>
        <v>0</v>
      </c>
      <c r="K36" s="30">
        <f t="shared" si="2"/>
        <v>725</v>
      </c>
      <c r="L36" s="30">
        <f>Datos!G36</f>
        <v>821.46</v>
      </c>
      <c r="M36" s="30">
        <f>IF(Datos!O36="muy_nuevo",'PANEL DE CONTROL'!$C$22,IF(Datos!O36="nuevo",'PANEL DE CONTROL'!$C$23,IF(Datos!O36="intermedio",'PANEL DE CONTROL'!$C$24,IF(Datos!O36="establecido",'PANEL DE CONTROL'!$C$25,'PANEL DE CONTROL'!$C$26))))</f>
        <v>0.5</v>
      </c>
      <c r="N36" s="30">
        <f>IF(Datos!J36&gt;=20,0.1,IF(Datos!J36&lt;5,-0.1,0))</f>
        <v>0</v>
      </c>
      <c r="O36" s="30">
        <f t="shared" si="3"/>
        <v>0.5</v>
      </c>
      <c r="P36" s="30">
        <f t="shared" si="4"/>
        <v>773.23</v>
      </c>
      <c r="Q36" s="30" t="str">
        <f>IF(P36&gt;='PANEL DE CONTROL'!$B$30,"A+",IF(P36&gt;='PANEL DE CONTROL'!$B$31,"A",IF(P36&gt;='PANEL DE CONTROL'!$B$32,"A-",IF(P36&gt;='PANEL DE CONTROL'!$B$33,"B+",IF(P36&gt;='PANEL DE CONTROL'!$B$34,"B",IF(P36&gt;='PANEL DE CONTROL'!$B$35,"B-",IF(P36&gt;='PANEL DE CONTROL'!$B$36,"C+",IF(P36&gt;='PANEL DE CONTROL'!$B$37,"C",IF(P36&gt;='PANEL DE CONTROL'!$B$38,"C-",IF(P36&gt;='PANEL DE CONTROL'!$B$39,"D+",IF(P36&gt;='PANEL DE CONTROL'!$B$40,"D","F")))))))))))</f>
        <v>B+</v>
      </c>
      <c r="R36" s="30" t="str">
        <f>Datos!I36</f>
        <v>B+</v>
      </c>
      <c r="S36" s="30">
        <f>P36-Datos!H36</f>
        <v>0</v>
      </c>
      <c r="T36" s="30" t="str">
        <f t="shared" si="5"/>
        <v>Igual</v>
      </c>
      <c r="U36" s="30" t="str">
        <f>Datos!O36</f>
        <v>intermedio</v>
      </c>
      <c r="V36" s="30" t="str">
        <f>Datos!Q36</f>
        <v>bueno</v>
      </c>
    </row>
    <row r="37" ht="15.75" customHeight="1">
      <c r="A37" s="30">
        <f>Datos!A37</f>
        <v>28615875</v>
      </c>
      <c r="B37" s="30">
        <f>Datos!B37</f>
        <v>530</v>
      </c>
      <c r="C37" s="30">
        <f>Datos!C37</f>
        <v>150</v>
      </c>
      <c r="D37" s="30">
        <f>Datos!D37</f>
        <v>200</v>
      </c>
      <c r="E37" s="30">
        <f>(B37/600)*'PANEL DE CONTROL'!$C$7</f>
        <v>530</v>
      </c>
      <c r="F37" s="30">
        <f>(C37/150)*'PANEL DE CONTROL'!$C$8</f>
        <v>150</v>
      </c>
      <c r="G37" s="30">
        <f>(D37/250)*'PANEL DE CONTROL'!$C$9</f>
        <v>200</v>
      </c>
      <c r="H37" s="30">
        <f t="shared" si="1"/>
        <v>880</v>
      </c>
      <c r="I37" s="30">
        <f>IF(Datos!K37&gt;30,'PANEL DE CONTROL'!$D$14,0)+IF(Datos!M37&gt;80,'PANEL DE CONTROL'!$D$15,0)</f>
        <v>0</v>
      </c>
      <c r="J37" s="30">
        <f>IF(Datos!L37&lt;10,'PANEL DE CONTROL'!$D$16,0)+IF(Datos!N37&gt;24,'PANEL DE CONTROL'!$D$17,0)</f>
        <v>0</v>
      </c>
      <c r="K37" s="30">
        <f t="shared" si="2"/>
        <v>880</v>
      </c>
      <c r="L37" s="30">
        <f>Datos!G37</f>
        <v>825.78</v>
      </c>
      <c r="M37" s="30">
        <f>IF(Datos!O37="muy_nuevo",'PANEL DE CONTROL'!$C$22,IF(Datos!O37="nuevo",'PANEL DE CONTROL'!$C$23,IF(Datos!O37="intermedio",'PANEL DE CONTROL'!$C$24,IF(Datos!O37="establecido",'PANEL DE CONTROL'!$C$25,'PANEL DE CONTROL'!$C$26))))</f>
        <v>0.6</v>
      </c>
      <c r="N37" s="30">
        <f>IF(Datos!J37&gt;=20,0.1,IF(Datos!J37&lt;5,-0.1,0))</f>
        <v>0</v>
      </c>
      <c r="O37" s="30">
        <f t="shared" si="3"/>
        <v>0.6</v>
      </c>
      <c r="P37" s="30">
        <f t="shared" si="4"/>
        <v>858.312</v>
      </c>
      <c r="Q37" s="30" t="str">
        <f>IF(P37&gt;='PANEL DE CONTROL'!$B$30,"A+",IF(P37&gt;='PANEL DE CONTROL'!$B$31,"A",IF(P37&gt;='PANEL DE CONTROL'!$B$32,"A-",IF(P37&gt;='PANEL DE CONTROL'!$B$33,"B+",IF(P37&gt;='PANEL DE CONTROL'!$B$34,"B",IF(P37&gt;='PANEL DE CONTROL'!$B$35,"B-",IF(P37&gt;='PANEL DE CONTROL'!$B$36,"C+",IF(P37&gt;='PANEL DE CONTROL'!$B$37,"C",IF(P37&gt;='PANEL DE CONTROL'!$B$38,"C-",IF(P37&gt;='PANEL DE CONTROL'!$B$39,"D+",IF(P37&gt;='PANEL DE CONTROL'!$B$40,"D","F")))))))))))</f>
        <v>A</v>
      </c>
      <c r="R37" s="30" t="str">
        <f>Datos!I37</f>
        <v>A</v>
      </c>
      <c r="S37" s="30">
        <f>P37-Datos!H37</f>
        <v>0.002</v>
      </c>
      <c r="T37" s="30" t="str">
        <f t="shared" si="5"/>
        <v>Igual</v>
      </c>
      <c r="U37" s="30" t="str">
        <f>Datos!O37</f>
        <v>establecido</v>
      </c>
      <c r="V37" s="30" t="str">
        <f>Datos!Q37</f>
        <v>bueno</v>
      </c>
    </row>
    <row r="38" ht="15.75" customHeight="1">
      <c r="A38" s="30">
        <f>Datos!A38</f>
        <v>41421956</v>
      </c>
      <c r="B38" s="30">
        <f>Datos!B38</f>
        <v>300</v>
      </c>
      <c r="C38" s="30">
        <f>Datos!C38</f>
        <v>100</v>
      </c>
      <c r="D38" s="30">
        <f>Datos!D38</f>
        <v>125</v>
      </c>
      <c r="E38" s="30">
        <f>(B38/600)*'PANEL DE CONTROL'!$C$7</f>
        <v>300</v>
      </c>
      <c r="F38" s="30">
        <f>(C38/150)*'PANEL DE CONTROL'!$C$8</f>
        <v>100</v>
      </c>
      <c r="G38" s="30">
        <f>(D38/250)*'PANEL DE CONTROL'!$C$9</f>
        <v>125</v>
      </c>
      <c r="H38" s="30">
        <f t="shared" si="1"/>
        <v>525</v>
      </c>
      <c r="I38" s="30">
        <f>IF(Datos!K38&gt;30,'PANEL DE CONTROL'!$D$14,0)+IF(Datos!M38&gt;80,'PANEL DE CONTROL'!$D$15,0)</f>
        <v>0</v>
      </c>
      <c r="J38" s="30">
        <f>IF(Datos!L38&lt;10,'PANEL DE CONTROL'!$D$16,0)+IF(Datos!N38&gt;24,'PANEL DE CONTROL'!$D$17,0)</f>
        <v>0</v>
      </c>
      <c r="K38" s="30">
        <f t="shared" si="2"/>
        <v>525</v>
      </c>
      <c r="L38" s="30">
        <f>Datos!G38</f>
        <v>799.16</v>
      </c>
      <c r="M38" s="30">
        <f>IF(Datos!O38="muy_nuevo",'PANEL DE CONTROL'!$C$22,IF(Datos!O38="nuevo",'PANEL DE CONTROL'!$C$23,IF(Datos!O38="intermedio",'PANEL DE CONTROL'!$C$24,IF(Datos!O38="establecido",'PANEL DE CONTROL'!$C$25,'PANEL DE CONTROL'!$C$26))))</f>
        <v>0.6</v>
      </c>
      <c r="N38" s="30">
        <f>IF(Datos!J38&gt;=20,0.1,IF(Datos!J38&lt;5,-0.1,0))</f>
        <v>0.1</v>
      </c>
      <c r="O38" s="30">
        <f t="shared" si="3"/>
        <v>0.7</v>
      </c>
      <c r="P38" s="30">
        <f t="shared" si="4"/>
        <v>607.248</v>
      </c>
      <c r="Q38" s="30" t="str">
        <f>IF(P38&gt;='PANEL DE CONTROL'!$B$30,"A+",IF(P38&gt;='PANEL DE CONTROL'!$B$31,"A",IF(P38&gt;='PANEL DE CONTROL'!$B$32,"A-",IF(P38&gt;='PANEL DE CONTROL'!$B$33,"B+",IF(P38&gt;='PANEL DE CONTROL'!$B$34,"B",IF(P38&gt;='PANEL DE CONTROL'!$B$35,"B-",IF(P38&gt;='PANEL DE CONTROL'!$B$36,"C+",IF(P38&gt;='PANEL DE CONTROL'!$B$37,"C",IF(P38&gt;='PANEL DE CONTROL'!$B$38,"C-",IF(P38&gt;='PANEL DE CONTROL'!$B$39,"D+",IF(P38&gt;='PANEL DE CONTROL'!$B$40,"D","F")))))))))))</f>
        <v>C+</v>
      </c>
      <c r="R38" s="30" t="str">
        <f>Datos!I38</f>
        <v>C+</v>
      </c>
      <c r="S38" s="30">
        <f>P38-Datos!H38</f>
        <v>-27.412</v>
      </c>
      <c r="T38" s="30" t="str">
        <f t="shared" si="5"/>
        <v>Empeora</v>
      </c>
      <c r="U38" s="30" t="str">
        <f>Datos!O38</f>
        <v>establecido</v>
      </c>
      <c r="V38" s="30" t="str">
        <f>Datos!Q38</f>
        <v>bueno</v>
      </c>
    </row>
    <row r="39" ht="15.75" customHeight="1">
      <c r="A39" s="30">
        <f>Datos!A39</f>
        <v>66999496</v>
      </c>
      <c r="B39" s="30">
        <f>Datos!B39</f>
        <v>450</v>
      </c>
      <c r="C39" s="30">
        <f>Datos!C39</f>
        <v>150</v>
      </c>
      <c r="D39" s="30">
        <f>Datos!D39</f>
        <v>125</v>
      </c>
      <c r="E39" s="30">
        <f>(B39/600)*'PANEL DE CONTROL'!$C$7</f>
        <v>450</v>
      </c>
      <c r="F39" s="30">
        <f>(C39/150)*'PANEL DE CONTROL'!$C$8</f>
        <v>150</v>
      </c>
      <c r="G39" s="30">
        <f>(D39/250)*'PANEL DE CONTROL'!$C$9</f>
        <v>125</v>
      </c>
      <c r="H39" s="30">
        <f t="shared" si="1"/>
        <v>725</v>
      </c>
      <c r="I39" s="30">
        <f>IF(Datos!K39&gt;30,'PANEL DE CONTROL'!$D$14,0)+IF(Datos!M39&gt;80,'PANEL DE CONTROL'!$D$15,0)</f>
        <v>0</v>
      </c>
      <c r="J39" s="30">
        <f>IF(Datos!L39&lt;10,'PANEL DE CONTROL'!$D$16,0)+IF(Datos!N39&gt;24,'PANEL DE CONTROL'!$D$17,0)</f>
        <v>0</v>
      </c>
      <c r="K39" s="30">
        <f t="shared" si="2"/>
        <v>725</v>
      </c>
      <c r="L39" s="30">
        <f>Datos!G39</f>
        <v>812.59</v>
      </c>
      <c r="M39" s="30">
        <f>IF(Datos!O39="muy_nuevo",'PANEL DE CONTROL'!$C$22,IF(Datos!O39="nuevo",'PANEL DE CONTROL'!$C$23,IF(Datos!O39="intermedio",'PANEL DE CONTROL'!$C$24,IF(Datos!O39="establecido",'PANEL DE CONTROL'!$C$25,'PANEL DE CONTROL'!$C$26))))</f>
        <v>0.5</v>
      </c>
      <c r="N39" s="30">
        <f>IF(Datos!J39&gt;=20,0.1,IF(Datos!J39&lt;5,-0.1,0))</f>
        <v>0</v>
      </c>
      <c r="O39" s="30">
        <f t="shared" si="3"/>
        <v>0.5</v>
      </c>
      <c r="P39" s="30">
        <f t="shared" si="4"/>
        <v>768.795</v>
      </c>
      <c r="Q39" s="30" t="str">
        <f>IF(P39&gt;='PANEL DE CONTROL'!$B$30,"A+",IF(P39&gt;='PANEL DE CONTROL'!$B$31,"A",IF(P39&gt;='PANEL DE CONTROL'!$B$32,"A-",IF(P39&gt;='PANEL DE CONTROL'!$B$33,"B+",IF(P39&gt;='PANEL DE CONTROL'!$B$34,"B",IF(P39&gt;='PANEL DE CONTROL'!$B$35,"B-",IF(P39&gt;='PANEL DE CONTROL'!$B$36,"C+",IF(P39&gt;='PANEL DE CONTROL'!$B$37,"C",IF(P39&gt;='PANEL DE CONTROL'!$B$38,"C-",IF(P39&gt;='PANEL DE CONTROL'!$B$39,"D+",IF(P39&gt;='PANEL DE CONTROL'!$B$40,"D","F")))))))))))</f>
        <v>B+</v>
      </c>
      <c r="R39" s="30" t="str">
        <f>Datos!I39</f>
        <v>B+</v>
      </c>
      <c r="S39" s="30">
        <f>P39-Datos!H39</f>
        <v>0.005</v>
      </c>
      <c r="T39" s="30" t="str">
        <f t="shared" si="5"/>
        <v>Igual</v>
      </c>
      <c r="U39" s="30" t="str">
        <f>Datos!O39</f>
        <v>intermedio</v>
      </c>
      <c r="V39" s="30" t="str">
        <f>Datos!Q39</f>
        <v>bueno</v>
      </c>
    </row>
    <row r="40" ht="15.75" customHeight="1">
      <c r="A40" s="30">
        <f>Datos!A40</f>
        <v>80737830</v>
      </c>
      <c r="B40" s="30">
        <f>Datos!B40</f>
        <v>450</v>
      </c>
      <c r="C40" s="30">
        <f>Datos!C40</f>
        <v>150</v>
      </c>
      <c r="D40" s="30">
        <f>Datos!D40</f>
        <v>200</v>
      </c>
      <c r="E40" s="30">
        <f>(B40/600)*'PANEL DE CONTROL'!$C$7</f>
        <v>450</v>
      </c>
      <c r="F40" s="30">
        <f>(C40/150)*'PANEL DE CONTROL'!$C$8</f>
        <v>150</v>
      </c>
      <c r="G40" s="30">
        <f>(D40/250)*'PANEL DE CONTROL'!$C$9</f>
        <v>200</v>
      </c>
      <c r="H40" s="30">
        <f t="shared" si="1"/>
        <v>800</v>
      </c>
      <c r="I40" s="30">
        <f>IF(Datos!K40&gt;30,'PANEL DE CONTROL'!$D$14,0)+IF(Datos!M40&gt;80,'PANEL DE CONTROL'!$D$15,0)</f>
        <v>0</v>
      </c>
      <c r="J40" s="30">
        <f>IF(Datos!L40&lt;10,'PANEL DE CONTROL'!$D$16,0)+IF(Datos!N40&gt;24,'PANEL DE CONTROL'!$D$17,0)</f>
        <v>0</v>
      </c>
      <c r="K40" s="30">
        <f t="shared" si="2"/>
        <v>800</v>
      </c>
      <c r="L40" s="30">
        <f>Datos!G40</f>
        <v>830.09</v>
      </c>
      <c r="M40" s="30">
        <f>IF(Datos!O40="muy_nuevo",'PANEL DE CONTROL'!$C$22,IF(Datos!O40="nuevo",'PANEL DE CONTROL'!$C$23,IF(Datos!O40="intermedio",'PANEL DE CONTROL'!$C$24,IF(Datos!O40="establecido",'PANEL DE CONTROL'!$C$25,'PANEL DE CONTROL'!$C$26))))</f>
        <v>0.5</v>
      </c>
      <c r="N40" s="30">
        <f>IF(Datos!J40&gt;=20,0.1,IF(Datos!J40&lt;5,-0.1,0))</f>
        <v>0.1</v>
      </c>
      <c r="O40" s="30">
        <f t="shared" si="3"/>
        <v>0.6</v>
      </c>
      <c r="P40" s="30">
        <f t="shared" si="4"/>
        <v>812.036</v>
      </c>
      <c r="Q40" s="30" t="str">
        <f>IF(P40&gt;='PANEL DE CONTROL'!$B$30,"A+",IF(P40&gt;='PANEL DE CONTROL'!$B$31,"A",IF(P40&gt;='PANEL DE CONTROL'!$B$32,"A-",IF(P40&gt;='PANEL DE CONTROL'!$B$33,"B+",IF(P40&gt;='PANEL DE CONTROL'!$B$34,"B",IF(P40&gt;='PANEL DE CONTROL'!$B$35,"B-",IF(P40&gt;='PANEL DE CONTROL'!$B$36,"C+",IF(P40&gt;='PANEL DE CONTROL'!$B$37,"C",IF(P40&gt;='PANEL DE CONTROL'!$B$38,"C-",IF(P40&gt;='PANEL DE CONTROL'!$B$39,"D+",IF(P40&gt;='PANEL DE CONTROL'!$B$40,"D","F")))))))))))</f>
        <v>A-</v>
      </c>
      <c r="R40" s="30" t="str">
        <f>Datos!I40</f>
        <v>A-</v>
      </c>
      <c r="S40" s="30">
        <f>P40-Datos!H40</f>
        <v>-3.014</v>
      </c>
      <c r="T40" s="30" t="str">
        <f t="shared" si="5"/>
        <v>Igual</v>
      </c>
      <c r="U40" s="30" t="str">
        <f>Datos!O40</f>
        <v>intermedio</v>
      </c>
      <c r="V40" s="30" t="str">
        <f>Datos!Q40</f>
        <v>bueno</v>
      </c>
    </row>
    <row r="41" ht="15.75" customHeight="1">
      <c r="A41" s="30">
        <f>Datos!A41</f>
        <v>36598295</v>
      </c>
      <c r="B41" s="30">
        <f>Datos!B41</f>
        <v>450</v>
      </c>
      <c r="C41" s="30">
        <f>Datos!C41</f>
        <v>150</v>
      </c>
      <c r="D41" s="30">
        <f>Datos!D41</f>
        <v>200</v>
      </c>
      <c r="E41" s="30">
        <f>(B41/600)*'PANEL DE CONTROL'!$C$7</f>
        <v>450</v>
      </c>
      <c r="F41" s="30">
        <f>(C41/150)*'PANEL DE CONTROL'!$C$8</f>
        <v>150</v>
      </c>
      <c r="G41" s="30">
        <f>(D41/250)*'PANEL DE CONTROL'!$C$9</f>
        <v>200</v>
      </c>
      <c r="H41" s="30">
        <f t="shared" si="1"/>
        <v>800</v>
      </c>
      <c r="I41" s="30">
        <f>IF(Datos!K41&gt;30,'PANEL DE CONTROL'!$D$14,0)+IF(Datos!M41&gt;80,'PANEL DE CONTROL'!$D$15,0)</f>
        <v>0</v>
      </c>
      <c r="J41" s="30">
        <f>IF(Datos!L41&lt;10,'PANEL DE CONTROL'!$D$16,0)+IF(Datos!N41&gt;24,'PANEL DE CONTROL'!$D$17,0)</f>
        <v>0</v>
      </c>
      <c r="K41" s="30">
        <f t="shared" si="2"/>
        <v>800</v>
      </c>
      <c r="L41" s="30">
        <f>Datos!G41</f>
        <v>770.67</v>
      </c>
      <c r="M41" s="30">
        <f>IF(Datos!O41="muy_nuevo",'PANEL DE CONTROL'!$C$22,IF(Datos!O41="nuevo",'PANEL DE CONTROL'!$C$23,IF(Datos!O41="intermedio",'PANEL DE CONTROL'!$C$24,IF(Datos!O41="establecido",'PANEL DE CONTROL'!$C$25,'PANEL DE CONTROL'!$C$26))))</f>
        <v>0.6</v>
      </c>
      <c r="N41" s="30">
        <f>IF(Datos!J41&gt;=20,0.1,IF(Datos!J41&lt;5,-0.1,0))</f>
        <v>0</v>
      </c>
      <c r="O41" s="30">
        <f t="shared" si="3"/>
        <v>0.6</v>
      </c>
      <c r="P41" s="30">
        <f t="shared" si="4"/>
        <v>788.268</v>
      </c>
      <c r="Q41" s="30" t="str">
        <f>IF(P41&gt;='PANEL DE CONTROL'!$B$30,"A+",IF(P41&gt;='PANEL DE CONTROL'!$B$31,"A",IF(P41&gt;='PANEL DE CONTROL'!$B$32,"A-",IF(P41&gt;='PANEL DE CONTROL'!$B$33,"B+",IF(P41&gt;='PANEL DE CONTROL'!$B$34,"B",IF(P41&gt;='PANEL DE CONTROL'!$B$35,"B-",IF(P41&gt;='PANEL DE CONTROL'!$B$36,"C+",IF(P41&gt;='PANEL DE CONTROL'!$B$37,"C",IF(P41&gt;='PANEL DE CONTROL'!$B$38,"C-",IF(P41&gt;='PANEL DE CONTROL'!$B$39,"D+",IF(P41&gt;='PANEL DE CONTROL'!$B$40,"D","F")))))))))))</f>
        <v>B+</v>
      </c>
      <c r="R41" s="30" t="str">
        <f>Datos!I41</f>
        <v>B+</v>
      </c>
      <c r="S41" s="30">
        <f>P41-Datos!H41</f>
        <v>-0.002</v>
      </c>
      <c r="T41" s="30" t="str">
        <f t="shared" si="5"/>
        <v>Igual</v>
      </c>
      <c r="U41" s="30" t="str">
        <f>Datos!O41</f>
        <v>establecido</v>
      </c>
      <c r="V41" s="30" t="str">
        <f>Datos!Q41</f>
        <v>bueno</v>
      </c>
    </row>
    <row r="42" ht="15.75" customHeight="1">
      <c r="A42" s="30">
        <f>Datos!A42</f>
        <v>75135253</v>
      </c>
      <c r="B42" s="30">
        <f>Datos!B42</f>
        <v>300</v>
      </c>
      <c r="C42" s="30">
        <f>Datos!C42</f>
        <v>100</v>
      </c>
      <c r="D42" s="30">
        <f>Datos!D42</f>
        <v>125</v>
      </c>
      <c r="E42" s="30">
        <f>(B42/600)*'PANEL DE CONTROL'!$C$7</f>
        <v>300</v>
      </c>
      <c r="F42" s="30">
        <f>(C42/150)*'PANEL DE CONTROL'!$C$8</f>
        <v>100</v>
      </c>
      <c r="G42" s="30">
        <f>(D42/250)*'PANEL DE CONTROL'!$C$9</f>
        <v>125</v>
      </c>
      <c r="H42" s="30">
        <f t="shared" si="1"/>
        <v>525</v>
      </c>
      <c r="I42" s="30">
        <f>IF(Datos!K42&gt;30,'PANEL DE CONTROL'!$D$14,0)+IF(Datos!M42&gt;80,'PANEL DE CONTROL'!$D$15,0)</f>
        <v>0</v>
      </c>
      <c r="J42" s="30">
        <f>IF(Datos!L42&lt;10,'PANEL DE CONTROL'!$D$16,0)+IF(Datos!N42&gt;24,'PANEL DE CONTROL'!$D$17,0)</f>
        <v>0</v>
      </c>
      <c r="K42" s="30">
        <f t="shared" si="2"/>
        <v>525</v>
      </c>
      <c r="L42" s="30">
        <f>Datos!G42</f>
        <v>818.16</v>
      </c>
      <c r="M42" s="30">
        <f>IF(Datos!O42="muy_nuevo",'PANEL DE CONTROL'!$C$22,IF(Datos!O42="nuevo",'PANEL DE CONTROL'!$C$23,IF(Datos!O42="intermedio",'PANEL DE CONTROL'!$C$24,IF(Datos!O42="establecido",'PANEL DE CONTROL'!$C$25,'PANEL DE CONTROL'!$C$26))))</f>
        <v>0.6</v>
      </c>
      <c r="N42" s="30">
        <f>IF(Datos!J42&gt;=20,0.1,IF(Datos!J42&lt;5,-0.1,0))</f>
        <v>0.1</v>
      </c>
      <c r="O42" s="30">
        <f t="shared" si="3"/>
        <v>0.7</v>
      </c>
      <c r="P42" s="30">
        <f t="shared" si="4"/>
        <v>612.948</v>
      </c>
      <c r="Q42" s="30" t="str">
        <f>IF(P42&gt;='PANEL DE CONTROL'!$B$30,"A+",IF(P42&gt;='PANEL DE CONTROL'!$B$31,"A",IF(P42&gt;='PANEL DE CONTROL'!$B$32,"A-",IF(P42&gt;='PANEL DE CONTROL'!$B$33,"B+",IF(P42&gt;='PANEL DE CONTROL'!$B$34,"B",IF(P42&gt;='PANEL DE CONTROL'!$B$35,"B-",IF(P42&gt;='PANEL DE CONTROL'!$B$36,"C+",IF(P42&gt;='PANEL DE CONTROL'!$B$37,"C",IF(P42&gt;='PANEL DE CONTROL'!$B$38,"C-",IF(P42&gt;='PANEL DE CONTROL'!$B$39,"D+",IF(P42&gt;='PANEL DE CONTROL'!$B$40,"D","F")))))))))))</f>
        <v>C+</v>
      </c>
      <c r="R42" s="30" t="str">
        <f>Datos!I42</f>
        <v>C+</v>
      </c>
      <c r="S42" s="30">
        <f>P42-Datos!H42</f>
        <v>-29.312</v>
      </c>
      <c r="T42" s="30" t="str">
        <f t="shared" si="5"/>
        <v>Empeora</v>
      </c>
      <c r="U42" s="30" t="str">
        <f>Datos!O42</f>
        <v>establecido</v>
      </c>
      <c r="V42" s="30" t="str">
        <f>Datos!Q42</f>
        <v>bueno</v>
      </c>
    </row>
    <row r="43" ht="15.75" customHeight="1">
      <c r="A43" s="30">
        <f>Datos!A43</f>
        <v>52582320</v>
      </c>
      <c r="B43" s="30">
        <f>Datos!B43</f>
        <v>450</v>
      </c>
      <c r="C43" s="30">
        <f>Datos!C43</f>
        <v>150</v>
      </c>
      <c r="D43" s="30">
        <f>Datos!D43</f>
        <v>125</v>
      </c>
      <c r="E43" s="30">
        <f>(B43/600)*'PANEL DE CONTROL'!$C$7</f>
        <v>450</v>
      </c>
      <c r="F43" s="30">
        <f>(C43/150)*'PANEL DE CONTROL'!$C$8</f>
        <v>150</v>
      </c>
      <c r="G43" s="30">
        <f>(D43/250)*'PANEL DE CONTROL'!$C$9</f>
        <v>125</v>
      </c>
      <c r="H43" s="30">
        <f t="shared" si="1"/>
        <v>725</v>
      </c>
      <c r="I43" s="30">
        <f>IF(Datos!K43&gt;30,'PANEL DE CONTROL'!$D$14,0)+IF(Datos!M43&gt;80,'PANEL DE CONTROL'!$D$15,0)</f>
        <v>0</v>
      </c>
      <c r="J43" s="30">
        <f>IF(Datos!L43&lt;10,'PANEL DE CONTROL'!$D$16,0)+IF(Datos!N43&gt;24,'PANEL DE CONTROL'!$D$17,0)</f>
        <v>0</v>
      </c>
      <c r="K43" s="30">
        <f t="shared" si="2"/>
        <v>725</v>
      </c>
      <c r="L43" s="30">
        <f>Datos!G43</f>
        <v>778.2</v>
      </c>
      <c r="M43" s="30">
        <f>IF(Datos!O43="muy_nuevo",'PANEL DE CONTROL'!$C$22,IF(Datos!O43="nuevo",'PANEL DE CONTROL'!$C$23,IF(Datos!O43="intermedio",'PANEL DE CONTROL'!$C$24,IF(Datos!O43="establecido",'PANEL DE CONTROL'!$C$25,'PANEL DE CONTROL'!$C$26))))</f>
        <v>0.6</v>
      </c>
      <c r="N43" s="30">
        <f>IF(Datos!J43&gt;=20,0.1,IF(Datos!J43&lt;5,-0.1,0))</f>
        <v>0</v>
      </c>
      <c r="O43" s="30">
        <f t="shared" si="3"/>
        <v>0.6</v>
      </c>
      <c r="P43" s="30">
        <f t="shared" si="4"/>
        <v>746.28</v>
      </c>
      <c r="Q43" s="30" t="str">
        <f>IF(P43&gt;='PANEL DE CONTROL'!$B$30,"A+",IF(P43&gt;='PANEL DE CONTROL'!$B$31,"A",IF(P43&gt;='PANEL DE CONTROL'!$B$32,"A-",IF(P43&gt;='PANEL DE CONTROL'!$B$33,"B+",IF(P43&gt;='PANEL DE CONTROL'!$B$34,"B",IF(P43&gt;='PANEL DE CONTROL'!$B$35,"B-",IF(P43&gt;='PANEL DE CONTROL'!$B$36,"C+",IF(P43&gt;='PANEL DE CONTROL'!$B$37,"C",IF(P43&gt;='PANEL DE CONTROL'!$B$38,"C-",IF(P43&gt;='PANEL DE CONTROL'!$B$39,"D+",IF(P43&gt;='PANEL DE CONTROL'!$B$40,"D","F")))))))))))</f>
        <v>B</v>
      </c>
      <c r="R43" s="30" t="str">
        <f>Datos!I43</f>
        <v>B</v>
      </c>
      <c r="S43" s="30">
        <f>P43-Datos!H43</f>
        <v>0</v>
      </c>
      <c r="T43" s="30" t="str">
        <f t="shared" si="5"/>
        <v>Igual</v>
      </c>
      <c r="U43" s="30" t="str">
        <f>Datos!O43</f>
        <v>establecido</v>
      </c>
      <c r="V43" s="30" t="str">
        <f>Datos!Q43</f>
        <v>bueno</v>
      </c>
    </row>
    <row r="44" ht="15.75" customHeight="1">
      <c r="A44" s="30">
        <f>Datos!A44</f>
        <v>29837335</v>
      </c>
      <c r="B44" s="30">
        <f>Datos!B44</f>
        <v>450</v>
      </c>
      <c r="C44" s="30">
        <f>Datos!C44</f>
        <v>150</v>
      </c>
      <c r="D44" s="30">
        <f>Datos!D44</f>
        <v>200</v>
      </c>
      <c r="E44" s="30">
        <f>(B44/600)*'PANEL DE CONTROL'!$C$7</f>
        <v>450</v>
      </c>
      <c r="F44" s="30">
        <f>(C44/150)*'PANEL DE CONTROL'!$C$8</f>
        <v>150</v>
      </c>
      <c r="G44" s="30">
        <f>(D44/250)*'PANEL DE CONTROL'!$C$9</f>
        <v>200</v>
      </c>
      <c r="H44" s="30">
        <f t="shared" si="1"/>
        <v>800</v>
      </c>
      <c r="I44" s="30">
        <f>IF(Datos!K44&gt;30,'PANEL DE CONTROL'!$D$14,0)+IF(Datos!M44&gt;80,'PANEL DE CONTROL'!$D$15,0)</f>
        <v>0</v>
      </c>
      <c r="J44" s="30">
        <f>IF(Datos!L44&lt;10,'PANEL DE CONTROL'!$D$16,0)+IF(Datos!N44&gt;24,'PANEL DE CONTROL'!$D$17,0)</f>
        <v>0</v>
      </c>
      <c r="K44" s="30">
        <f t="shared" si="2"/>
        <v>800</v>
      </c>
      <c r="L44" s="30">
        <f>Datos!G44</f>
        <v>843.08</v>
      </c>
      <c r="M44" s="30">
        <f>IF(Datos!O44="muy_nuevo",'PANEL DE CONTROL'!$C$22,IF(Datos!O44="nuevo",'PANEL DE CONTROL'!$C$23,IF(Datos!O44="intermedio",'PANEL DE CONTROL'!$C$24,IF(Datos!O44="establecido",'PANEL DE CONTROL'!$C$25,'PANEL DE CONTROL'!$C$26))))</f>
        <v>0.5</v>
      </c>
      <c r="N44" s="30">
        <f>IF(Datos!J44&gt;=20,0.1,IF(Datos!J44&lt;5,-0.1,0))</f>
        <v>0</v>
      </c>
      <c r="O44" s="30">
        <f t="shared" si="3"/>
        <v>0.5</v>
      </c>
      <c r="P44" s="30">
        <f t="shared" si="4"/>
        <v>821.54</v>
      </c>
      <c r="Q44" s="30" t="str">
        <f>IF(P44&gt;='PANEL DE CONTROL'!$B$30,"A+",IF(P44&gt;='PANEL DE CONTROL'!$B$31,"A",IF(P44&gt;='PANEL DE CONTROL'!$B$32,"A-",IF(P44&gt;='PANEL DE CONTROL'!$B$33,"B+",IF(P44&gt;='PANEL DE CONTROL'!$B$34,"B",IF(P44&gt;='PANEL DE CONTROL'!$B$35,"B-",IF(P44&gt;='PANEL DE CONTROL'!$B$36,"C+",IF(P44&gt;='PANEL DE CONTROL'!$B$37,"C",IF(P44&gt;='PANEL DE CONTROL'!$B$38,"C-",IF(P44&gt;='PANEL DE CONTROL'!$B$39,"D+",IF(P44&gt;='PANEL DE CONTROL'!$B$40,"D","F")))))))))))</f>
        <v>A-</v>
      </c>
      <c r="R44" s="30" t="str">
        <f>Datos!I44</f>
        <v>A-</v>
      </c>
      <c r="S44" s="30">
        <f>P44-Datos!H44</f>
        <v>0</v>
      </c>
      <c r="T44" s="30" t="str">
        <f t="shared" si="5"/>
        <v>Igual</v>
      </c>
      <c r="U44" s="30" t="str">
        <f>Datos!O44</f>
        <v>intermedio</v>
      </c>
      <c r="V44" s="30" t="str">
        <f>Datos!Q44</f>
        <v>bueno</v>
      </c>
    </row>
    <row r="45" ht="15.75" customHeight="1">
      <c r="A45" s="30">
        <f>Datos!A45</f>
        <v>50518023</v>
      </c>
      <c r="B45" s="30">
        <f>Datos!B45</f>
        <v>450</v>
      </c>
      <c r="C45" s="30">
        <f>Datos!C45</f>
        <v>100</v>
      </c>
      <c r="D45" s="30">
        <f>Datos!D45</f>
        <v>125</v>
      </c>
      <c r="E45" s="30">
        <f>(B45/600)*'PANEL DE CONTROL'!$C$7</f>
        <v>450</v>
      </c>
      <c r="F45" s="30">
        <f>(C45/150)*'PANEL DE CONTROL'!$C$8</f>
        <v>100</v>
      </c>
      <c r="G45" s="30">
        <f>(D45/250)*'PANEL DE CONTROL'!$C$9</f>
        <v>125</v>
      </c>
      <c r="H45" s="30">
        <f t="shared" si="1"/>
        <v>675</v>
      </c>
      <c r="I45" s="30">
        <f>IF(Datos!K45&gt;30,'PANEL DE CONTROL'!$D$14,0)+IF(Datos!M45&gt;80,'PANEL DE CONTROL'!$D$15,0)</f>
        <v>0</v>
      </c>
      <c r="J45" s="30">
        <f>IF(Datos!L45&lt;10,'PANEL DE CONTROL'!$D$16,0)+IF(Datos!N45&gt;24,'PANEL DE CONTROL'!$D$17,0)</f>
        <v>0</v>
      </c>
      <c r="K45" s="30">
        <f t="shared" si="2"/>
        <v>675</v>
      </c>
      <c r="L45" s="30">
        <f>Datos!G45</f>
        <v>839.55</v>
      </c>
      <c r="M45" s="30">
        <f>IF(Datos!O45="muy_nuevo",'PANEL DE CONTROL'!$C$22,IF(Datos!O45="nuevo",'PANEL DE CONTROL'!$C$23,IF(Datos!O45="intermedio",'PANEL DE CONTROL'!$C$24,IF(Datos!O45="establecido",'PANEL DE CONTROL'!$C$25,'PANEL DE CONTROL'!$C$26))))</f>
        <v>0.6</v>
      </c>
      <c r="N45" s="30">
        <f>IF(Datos!J45&gt;=20,0.1,IF(Datos!J45&lt;5,-0.1,0))</f>
        <v>0</v>
      </c>
      <c r="O45" s="30">
        <f t="shared" si="3"/>
        <v>0.6</v>
      </c>
      <c r="P45" s="30">
        <f t="shared" si="4"/>
        <v>740.82</v>
      </c>
      <c r="Q45" s="30" t="str">
        <f>IF(P45&gt;='PANEL DE CONTROL'!$B$30,"A+",IF(P45&gt;='PANEL DE CONTROL'!$B$31,"A",IF(P45&gt;='PANEL DE CONTROL'!$B$32,"A-",IF(P45&gt;='PANEL DE CONTROL'!$B$33,"B+",IF(P45&gt;='PANEL DE CONTROL'!$B$34,"B",IF(P45&gt;='PANEL DE CONTROL'!$B$35,"B-",IF(P45&gt;='PANEL DE CONTROL'!$B$36,"C+",IF(P45&gt;='PANEL DE CONTROL'!$B$37,"C",IF(P45&gt;='PANEL DE CONTROL'!$B$38,"C-",IF(P45&gt;='PANEL DE CONTROL'!$B$39,"D+",IF(P45&gt;='PANEL DE CONTROL'!$B$40,"D","F")))))))))))</f>
        <v>B</v>
      </c>
      <c r="R45" s="30" t="str">
        <f>Datos!I45</f>
        <v>B</v>
      </c>
      <c r="S45" s="30">
        <f>P45-Datos!H45</f>
        <v>0</v>
      </c>
      <c r="T45" s="30" t="str">
        <f t="shared" si="5"/>
        <v>Igual</v>
      </c>
      <c r="U45" s="30" t="str">
        <f>Datos!O45</f>
        <v>establecido</v>
      </c>
      <c r="V45" s="30" t="str">
        <f>Datos!Q45</f>
        <v>bueno</v>
      </c>
    </row>
    <row r="46" ht="15.75" customHeight="1">
      <c r="A46" s="30">
        <f>Datos!A46</f>
        <v>40109768</v>
      </c>
      <c r="B46" s="30">
        <f>Datos!B46</f>
        <v>530</v>
      </c>
      <c r="C46" s="30">
        <f>Datos!C46</f>
        <v>150</v>
      </c>
      <c r="D46" s="30">
        <f>Datos!D46</f>
        <v>125</v>
      </c>
      <c r="E46" s="30">
        <f>(B46/600)*'PANEL DE CONTROL'!$C$7</f>
        <v>530</v>
      </c>
      <c r="F46" s="30">
        <f>(C46/150)*'PANEL DE CONTROL'!$C$8</f>
        <v>150</v>
      </c>
      <c r="G46" s="30">
        <f>(D46/250)*'PANEL DE CONTROL'!$C$9</f>
        <v>125</v>
      </c>
      <c r="H46" s="30">
        <f t="shared" si="1"/>
        <v>805</v>
      </c>
      <c r="I46" s="30">
        <f>IF(Datos!K46&gt;30,'PANEL DE CONTROL'!$D$14,0)+IF(Datos!M46&gt;80,'PANEL DE CONTROL'!$D$15,0)</f>
        <v>0</v>
      </c>
      <c r="J46" s="30">
        <f>IF(Datos!L46&lt;10,'PANEL DE CONTROL'!$D$16,0)+IF(Datos!N46&gt;24,'PANEL DE CONTROL'!$D$17,0)</f>
        <v>0</v>
      </c>
      <c r="K46" s="30">
        <f t="shared" si="2"/>
        <v>805</v>
      </c>
      <c r="L46" s="30">
        <f>Datos!G46</f>
        <v>813.18</v>
      </c>
      <c r="M46" s="30">
        <f>IF(Datos!O46="muy_nuevo",'PANEL DE CONTROL'!$C$22,IF(Datos!O46="nuevo",'PANEL DE CONTROL'!$C$23,IF(Datos!O46="intermedio",'PANEL DE CONTROL'!$C$24,IF(Datos!O46="establecido",'PANEL DE CONTROL'!$C$25,'PANEL DE CONTROL'!$C$26))))</f>
        <v>0.6</v>
      </c>
      <c r="N46" s="30">
        <f>IF(Datos!J46&gt;=20,0.1,IF(Datos!J46&lt;5,-0.1,0))</f>
        <v>0.1</v>
      </c>
      <c r="O46" s="30">
        <f t="shared" si="3"/>
        <v>0.7</v>
      </c>
      <c r="P46" s="30">
        <f t="shared" si="4"/>
        <v>807.454</v>
      </c>
      <c r="Q46" s="30" t="str">
        <f>IF(P46&gt;='PANEL DE CONTROL'!$B$30,"A+",IF(P46&gt;='PANEL DE CONTROL'!$B$31,"A",IF(P46&gt;='PANEL DE CONTROL'!$B$32,"A-",IF(P46&gt;='PANEL DE CONTROL'!$B$33,"B+",IF(P46&gt;='PANEL DE CONTROL'!$B$34,"B",IF(P46&gt;='PANEL DE CONTROL'!$B$35,"B-",IF(P46&gt;='PANEL DE CONTROL'!$B$36,"C+",IF(P46&gt;='PANEL DE CONTROL'!$B$37,"C",IF(P46&gt;='PANEL DE CONTROL'!$B$38,"C-",IF(P46&gt;='PANEL DE CONTROL'!$B$39,"D+",IF(P46&gt;='PANEL DE CONTROL'!$B$40,"D","F")))))))))))</f>
        <v>A-</v>
      </c>
      <c r="R46" s="30" t="str">
        <f>Datos!I46</f>
        <v>A-</v>
      </c>
      <c r="S46" s="30">
        <f>P46-Datos!H46</f>
        <v>-0.816</v>
      </c>
      <c r="T46" s="30" t="str">
        <f t="shared" si="5"/>
        <v>Igual</v>
      </c>
      <c r="U46" s="30" t="str">
        <f>Datos!O46</f>
        <v>establecido</v>
      </c>
      <c r="V46" s="30" t="str">
        <f>Datos!Q46</f>
        <v>bueno</v>
      </c>
    </row>
    <row r="47" ht="15.75" customHeight="1">
      <c r="A47" s="30">
        <f>Datos!A47</f>
        <v>29090652</v>
      </c>
      <c r="B47" s="30">
        <f>Datos!B47</f>
        <v>450</v>
      </c>
      <c r="C47" s="30">
        <f>Datos!C47</f>
        <v>150</v>
      </c>
      <c r="D47" s="30">
        <f>Datos!D47</f>
        <v>125</v>
      </c>
      <c r="E47" s="30">
        <f>(B47/600)*'PANEL DE CONTROL'!$C$7</f>
        <v>450</v>
      </c>
      <c r="F47" s="30">
        <f>(C47/150)*'PANEL DE CONTROL'!$C$8</f>
        <v>150</v>
      </c>
      <c r="G47" s="30">
        <f>(D47/250)*'PANEL DE CONTROL'!$C$9</f>
        <v>125</v>
      </c>
      <c r="H47" s="30">
        <f t="shared" si="1"/>
        <v>725</v>
      </c>
      <c r="I47" s="30">
        <f>IF(Datos!K47&gt;30,'PANEL DE CONTROL'!$D$14,0)+IF(Datos!M47&gt;80,'PANEL DE CONTROL'!$D$15,0)</f>
        <v>0</v>
      </c>
      <c r="J47" s="30">
        <f>IF(Datos!L47&lt;10,'PANEL DE CONTROL'!$D$16,0)+IF(Datos!N47&gt;24,'PANEL DE CONTROL'!$D$17,0)</f>
        <v>0</v>
      </c>
      <c r="K47" s="30">
        <f t="shared" si="2"/>
        <v>725</v>
      </c>
      <c r="L47" s="30">
        <f>Datos!G47</f>
        <v>799.44</v>
      </c>
      <c r="M47" s="30">
        <f>IF(Datos!O47="muy_nuevo",'PANEL DE CONTROL'!$C$22,IF(Datos!O47="nuevo",'PANEL DE CONTROL'!$C$23,IF(Datos!O47="intermedio",'PANEL DE CONTROL'!$C$24,IF(Datos!O47="establecido",'PANEL DE CONTROL'!$C$25,'PANEL DE CONTROL'!$C$26))))</f>
        <v>0.6</v>
      </c>
      <c r="N47" s="30">
        <f>IF(Datos!J47&gt;=20,0.1,IF(Datos!J47&lt;5,-0.1,0))</f>
        <v>0.1</v>
      </c>
      <c r="O47" s="30">
        <f t="shared" si="3"/>
        <v>0.7</v>
      </c>
      <c r="P47" s="30">
        <f t="shared" si="4"/>
        <v>747.332</v>
      </c>
      <c r="Q47" s="30" t="str">
        <f>IF(P47&gt;='PANEL DE CONTROL'!$B$30,"A+",IF(P47&gt;='PANEL DE CONTROL'!$B$31,"A",IF(P47&gt;='PANEL DE CONTROL'!$B$32,"A-",IF(P47&gt;='PANEL DE CONTROL'!$B$33,"B+",IF(P47&gt;='PANEL DE CONTROL'!$B$34,"B",IF(P47&gt;='PANEL DE CONTROL'!$B$35,"B-",IF(P47&gt;='PANEL DE CONTROL'!$B$36,"C+",IF(P47&gt;='PANEL DE CONTROL'!$B$37,"C",IF(P47&gt;='PANEL DE CONTROL'!$B$38,"C-",IF(P47&gt;='PANEL DE CONTROL'!$B$39,"D+",IF(P47&gt;='PANEL DE CONTROL'!$B$40,"D","F")))))))))))</f>
        <v>B</v>
      </c>
      <c r="R47" s="30" t="str">
        <f>Datos!I47</f>
        <v>B+</v>
      </c>
      <c r="S47" s="30">
        <f>P47-Datos!H47</f>
        <v>-7.448</v>
      </c>
      <c r="T47" s="30" t="str">
        <f t="shared" si="5"/>
        <v>Empeora</v>
      </c>
      <c r="U47" s="30" t="str">
        <f>Datos!O47</f>
        <v>establecido</v>
      </c>
      <c r="V47" s="30" t="str">
        <f>Datos!Q47</f>
        <v>bueno</v>
      </c>
    </row>
    <row r="48" ht="15.75" customHeight="1">
      <c r="A48" s="30">
        <f>Datos!A48</f>
        <v>62945427</v>
      </c>
      <c r="B48" s="30">
        <f>Datos!B48</f>
        <v>300</v>
      </c>
      <c r="C48" s="30">
        <f>Datos!C48</f>
        <v>150</v>
      </c>
      <c r="D48" s="30">
        <f>Datos!D48</f>
        <v>200</v>
      </c>
      <c r="E48" s="30">
        <f>(B48/600)*'PANEL DE CONTROL'!$C$7</f>
        <v>300</v>
      </c>
      <c r="F48" s="30">
        <f>(C48/150)*'PANEL DE CONTROL'!$C$8</f>
        <v>150</v>
      </c>
      <c r="G48" s="30">
        <f>(D48/250)*'PANEL DE CONTROL'!$C$9</f>
        <v>200</v>
      </c>
      <c r="H48" s="30">
        <f t="shared" si="1"/>
        <v>650</v>
      </c>
      <c r="I48" s="30">
        <f>IF(Datos!K48&gt;30,'PANEL DE CONTROL'!$D$14,0)+IF(Datos!M48&gt;80,'PANEL DE CONTROL'!$D$15,0)</f>
        <v>0</v>
      </c>
      <c r="J48" s="30">
        <f>IF(Datos!L48&lt;10,'PANEL DE CONTROL'!$D$16,0)+IF(Datos!N48&gt;24,'PANEL DE CONTROL'!$D$17,0)</f>
        <v>0</v>
      </c>
      <c r="K48" s="30">
        <f t="shared" si="2"/>
        <v>650</v>
      </c>
      <c r="L48" s="30">
        <f>Datos!G48</f>
        <v>811.82</v>
      </c>
      <c r="M48" s="30">
        <f>IF(Datos!O48="muy_nuevo",'PANEL DE CONTROL'!$C$22,IF(Datos!O48="nuevo",'PANEL DE CONTROL'!$C$23,IF(Datos!O48="intermedio",'PANEL DE CONTROL'!$C$24,IF(Datos!O48="establecido",'PANEL DE CONTROL'!$C$25,'PANEL DE CONTROL'!$C$26))))</f>
        <v>0.6</v>
      </c>
      <c r="N48" s="30">
        <f>IF(Datos!J48&gt;=20,0.1,IF(Datos!J48&lt;5,-0.1,0))</f>
        <v>0</v>
      </c>
      <c r="O48" s="30">
        <f t="shared" si="3"/>
        <v>0.6</v>
      </c>
      <c r="P48" s="30">
        <f t="shared" si="4"/>
        <v>714.728</v>
      </c>
      <c r="Q48" s="30" t="str">
        <f>IF(P48&gt;='PANEL DE CONTROL'!$B$30,"A+",IF(P48&gt;='PANEL DE CONTROL'!$B$31,"A",IF(P48&gt;='PANEL DE CONTROL'!$B$32,"A-",IF(P48&gt;='PANEL DE CONTROL'!$B$33,"B+",IF(P48&gt;='PANEL DE CONTROL'!$B$34,"B",IF(P48&gt;='PANEL DE CONTROL'!$B$35,"B-",IF(P48&gt;='PANEL DE CONTROL'!$B$36,"C+",IF(P48&gt;='PANEL DE CONTROL'!$B$37,"C",IF(P48&gt;='PANEL DE CONTROL'!$B$38,"C-",IF(P48&gt;='PANEL DE CONTROL'!$B$39,"D+",IF(P48&gt;='PANEL DE CONTROL'!$B$40,"D","F")))))))))))</f>
        <v>B</v>
      </c>
      <c r="R48" s="30" t="str">
        <f>Datos!I48</f>
        <v>B</v>
      </c>
      <c r="S48" s="30">
        <f>P48-Datos!H48</f>
        <v>-0.002</v>
      </c>
      <c r="T48" s="30" t="str">
        <f t="shared" si="5"/>
        <v>Igual</v>
      </c>
      <c r="U48" s="30" t="str">
        <f>Datos!O48</f>
        <v>establecido</v>
      </c>
      <c r="V48" s="30" t="str">
        <f>Datos!Q48</f>
        <v>bueno</v>
      </c>
    </row>
    <row r="49" ht="15.75" customHeight="1">
      <c r="A49" s="30">
        <f>Datos!A49</f>
        <v>56391455</v>
      </c>
      <c r="B49" s="30">
        <f>Datos!B49</f>
        <v>450</v>
      </c>
      <c r="C49" s="30">
        <f>Datos!C49</f>
        <v>100</v>
      </c>
      <c r="D49" s="30">
        <f>Datos!D49</f>
        <v>125</v>
      </c>
      <c r="E49" s="30">
        <f>(B49/600)*'PANEL DE CONTROL'!$C$7</f>
        <v>450</v>
      </c>
      <c r="F49" s="30">
        <f>(C49/150)*'PANEL DE CONTROL'!$C$8</f>
        <v>100</v>
      </c>
      <c r="G49" s="30">
        <f>(D49/250)*'PANEL DE CONTROL'!$C$9</f>
        <v>125</v>
      </c>
      <c r="H49" s="30">
        <f t="shared" si="1"/>
        <v>675</v>
      </c>
      <c r="I49" s="30">
        <f>IF(Datos!K49&gt;30,'PANEL DE CONTROL'!$D$14,0)+IF(Datos!M49&gt;80,'PANEL DE CONTROL'!$D$15,0)</f>
        <v>0</v>
      </c>
      <c r="J49" s="30">
        <f>IF(Datos!L49&lt;10,'PANEL DE CONTROL'!$D$16,0)+IF(Datos!N49&gt;24,'PANEL DE CONTROL'!$D$17,0)</f>
        <v>0</v>
      </c>
      <c r="K49" s="30">
        <f t="shared" si="2"/>
        <v>675</v>
      </c>
      <c r="L49" s="30">
        <f>Datos!G49</f>
        <v>848.66</v>
      </c>
      <c r="M49" s="30">
        <f>IF(Datos!O49="muy_nuevo",'PANEL DE CONTROL'!$C$22,IF(Datos!O49="nuevo",'PANEL DE CONTROL'!$C$23,IF(Datos!O49="intermedio",'PANEL DE CONTROL'!$C$24,IF(Datos!O49="establecido",'PANEL DE CONTROL'!$C$25,'PANEL DE CONTROL'!$C$26))))</f>
        <v>0.6</v>
      </c>
      <c r="N49" s="30">
        <f>IF(Datos!J49&gt;=20,0.1,IF(Datos!J49&lt;5,-0.1,0))</f>
        <v>0</v>
      </c>
      <c r="O49" s="30">
        <f t="shared" si="3"/>
        <v>0.6</v>
      </c>
      <c r="P49" s="30">
        <f t="shared" si="4"/>
        <v>744.464</v>
      </c>
      <c r="Q49" s="30" t="str">
        <f>IF(P49&gt;='PANEL DE CONTROL'!$B$30,"A+",IF(P49&gt;='PANEL DE CONTROL'!$B$31,"A",IF(P49&gt;='PANEL DE CONTROL'!$B$32,"A-",IF(P49&gt;='PANEL DE CONTROL'!$B$33,"B+",IF(P49&gt;='PANEL DE CONTROL'!$B$34,"B",IF(P49&gt;='PANEL DE CONTROL'!$B$35,"B-",IF(P49&gt;='PANEL DE CONTROL'!$B$36,"C+",IF(P49&gt;='PANEL DE CONTROL'!$B$37,"C",IF(P49&gt;='PANEL DE CONTROL'!$B$38,"C-",IF(P49&gt;='PANEL DE CONTROL'!$B$39,"D+",IF(P49&gt;='PANEL DE CONTROL'!$B$40,"D","F")))))))))))</f>
        <v>B</v>
      </c>
      <c r="R49" s="30" t="str">
        <f>Datos!I49</f>
        <v>B</v>
      </c>
      <c r="S49" s="30">
        <f>P49-Datos!H49</f>
        <v>-0.006</v>
      </c>
      <c r="T49" s="30" t="str">
        <f t="shared" si="5"/>
        <v>Igual</v>
      </c>
      <c r="U49" s="30" t="str">
        <f>Datos!O49</f>
        <v>establecido</v>
      </c>
      <c r="V49" s="30" t="str">
        <f>Datos!Q49</f>
        <v>bueno</v>
      </c>
    </row>
    <row r="50" ht="15.75" customHeight="1">
      <c r="A50" s="30">
        <f>Datos!A50</f>
        <v>77847627</v>
      </c>
      <c r="B50" s="30">
        <f>Datos!B50</f>
        <v>530</v>
      </c>
      <c r="C50" s="30">
        <f>Datos!C50</f>
        <v>100</v>
      </c>
      <c r="D50" s="30">
        <f>Datos!D50</f>
        <v>200</v>
      </c>
      <c r="E50" s="30">
        <f>(B50/600)*'PANEL DE CONTROL'!$C$7</f>
        <v>530</v>
      </c>
      <c r="F50" s="30">
        <f>(C50/150)*'PANEL DE CONTROL'!$C$8</f>
        <v>100</v>
      </c>
      <c r="G50" s="30">
        <f>(D50/250)*'PANEL DE CONTROL'!$C$9</f>
        <v>200</v>
      </c>
      <c r="H50" s="30">
        <f t="shared" si="1"/>
        <v>830</v>
      </c>
      <c r="I50" s="30">
        <f>IF(Datos!K50&gt;30,'PANEL DE CONTROL'!$D$14,0)+IF(Datos!M50&gt;80,'PANEL DE CONTROL'!$D$15,0)</f>
        <v>0</v>
      </c>
      <c r="J50" s="30">
        <f>IF(Datos!L50&lt;10,'PANEL DE CONTROL'!$D$16,0)+IF(Datos!N50&gt;24,'PANEL DE CONTROL'!$D$17,0)</f>
        <v>0</v>
      </c>
      <c r="K50" s="30">
        <f t="shared" si="2"/>
        <v>830</v>
      </c>
      <c r="L50" s="30">
        <f>Datos!G50</f>
        <v>827.71</v>
      </c>
      <c r="M50" s="30">
        <f>IF(Datos!O50="muy_nuevo",'PANEL DE CONTROL'!$C$22,IF(Datos!O50="nuevo",'PANEL DE CONTROL'!$C$23,IF(Datos!O50="intermedio",'PANEL DE CONTROL'!$C$24,IF(Datos!O50="establecido",'PANEL DE CONTROL'!$C$25,'PANEL DE CONTROL'!$C$26))))</f>
        <v>0.5</v>
      </c>
      <c r="N50" s="30">
        <f>IF(Datos!J50&gt;=20,0.1,IF(Datos!J50&lt;5,-0.1,0))</f>
        <v>0.1</v>
      </c>
      <c r="O50" s="30">
        <f t="shared" si="3"/>
        <v>0.6</v>
      </c>
      <c r="P50" s="30">
        <f t="shared" si="4"/>
        <v>829.084</v>
      </c>
      <c r="Q50" s="30" t="str">
        <f>IF(P50&gt;='PANEL DE CONTROL'!$B$30,"A+",IF(P50&gt;='PANEL DE CONTROL'!$B$31,"A",IF(P50&gt;='PANEL DE CONTROL'!$B$32,"A-",IF(P50&gt;='PANEL DE CONTROL'!$B$33,"B+",IF(P50&gt;='PANEL DE CONTROL'!$B$34,"B",IF(P50&gt;='PANEL DE CONTROL'!$B$35,"B-",IF(P50&gt;='PANEL DE CONTROL'!$B$36,"C+",IF(P50&gt;='PANEL DE CONTROL'!$B$37,"C",IF(P50&gt;='PANEL DE CONTROL'!$B$38,"C-",IF(P50&gt;='PANEL DE CONTROL'!$B$39,"D+",IF(P50&gt;='PANEL DE CONTROL'!$B$40,"D","F")))))))))))</f>
        <v>A-</v>
      </c>
      <c r="R50" s="30" t="str">
        <f>Datos!I50</f>
        <v>A-</v>
      </c>
      <c r="S50" s="30">
        <f>P50-Datos!H50</f>
        <v>0.224</v>
      </c>
      <c r="T50" s="30" t="str">
        <f t="shared" si="5"/>
        <v>Igual</v>
      </c>
      <c r="U50" s="30" t="str">
        <f>Datos!O50</f>
        <v>intermedio</v>
      </c>
      <c r="V50" s="30" t="str">
        <f>Datos!Q50</f>
        <v>bueno</v>
      </c>
    </row>
    <row r="51" ht="15.75" customHeight="1">
      <c r="A51" s="30">
        <f>Datos!A51</f>
        <v>48512056</v>
      </c>
      <c r="B51" s="30">
        <f>Datos!B51</f>
        <v>300</v>
      </c>
      <c r="C51" s="30">
        <f>Datos!C51</f>
        <v>150</v>
      </c>
      <c r="D51" s="30">
        <f>Datos!D51</f>
        <v>125</v>
      </c>
      <c r="E51" s="30">
        <f>(B51/600)*'PANEL DE CONTROL'!$C$7</f>
        <v>300</v>
      </c>
      <c r="F51" s="30">
        <f>(C51/150)*'PANEL DE CONTROL'!$C$8</f>
        <v>150</v>
      </c>
      <c r="G51" s="30">
        <f>(D51/250)*'PANEL DE CONTROL'!$C$9</f>
        <v>125</v>
      </c>
      <c r="H51" s="30">
        <f t="shared" si="1"/>
        <v>575</v>
      </c>
      <c r="I51" s="30">
        <f>IF(Datos!K51&gt;30,'PANEL DE CONTROL'!$D$14,0)+IF(Datos!M51&gt;80,'PANEL DE CONTROL'!$D$15,0)</f>
        <v>0</v>
      </c>
      <c r="J51" s="30">
        <f>IF(Datos!L51&lt;10,'PANEL DE CONTROL'!$D$16,0)+IF(Datos!N51&gt;24,'PANEL DE CONTROL'!$D$17,0)</f>
        <v>0</v>
      </c>
      <c r="K51" s="30">
        <f t="shared" si="2"/>
        <v>575</v>
      </c>
      <c r="L51" s="30">
        <f>Datos!G51</f>
        <v>832.28</v>
      </c>
      <c r="M51" s="30">
        <f>IF(Datos!O51="muy_nuevo",'PANEL DE CONTROL'!$C$22,IF(Datos!O51="nuevo",'PANEL DE CONTROL'!$C$23,IF(Datos!O51="intermedio",'PANEL DE CONTROL'!$C$24,IF(Datos!O51="establecido",'PANEL DE CONTROL'!$C$25,'PANEL DE CONTROL'!$C$26))))</f>
        <v>0.5</v>
      </c>
      <c r="N51" s="30">
        <f>IF(Datos!J51&gt;=20,0.1,IF(Datos!J51&lt;5,-0.1,0))</f>
        <v>0</v>
      </c>
      <c r="O51" s="30">
        <f t="shared" si="3"/>
        <v>0.5</v>
      </c>
      <c r="P51" s="30">
        <f t="shared" si="4"/>
        <v>703.64</v>
      </c>
      <c r="Q51" s="30" t="str">
        <f>IF(P51&gt;='PANEL DE CONTROL'!$B$30,"A+",IF(P51&gt;='PANEL DE CONTROL'!$B$31,"A",IF(P51&gt;='PANEL DE CONTROL'!$B$32,"A-",IF(P51&gt;='PANEL DE CONTROL'!$B$33,"B+",IF(P51&gt;='PANEL DE CONTROL'!$B$34,"B",IF(P51&gt;='PANEL DE CONTROL'!$B$35,"B-",IF(P51&gt;='PANEL DE CONTROL'!$B$36,"C+",IF(P51&gt;='PANEL DE CONTROL'!$B$37,"C",IF(P51&gt;='PANEL DE CONTROL'!$B$38,"C-",IF(P51&gt;='PANEL DE CONTROL'!$B$39,"D+",IF(P51&gt;='PANEL DE CONTROL'!$B$40,"D","F")))))))))))</f>
        <v>B</v>
      </c>
      <c r="R51" s="30" t="str">
        <f>Datos!I51</f>
        <v>B</v>
      </c>
      <c r="S51" s="30">
        <f>P51-Datos!H51</f>
        <v>0</v>
      </c>
      <c r="T51" s="30" t="str">
        <f t="shared" si="5"/>
        <v>Igual</v>
      </c>
      <c r="U51" s="30" t="str">
        <f>Datos!O51</f>
        <v>intermedio</v>
      </c>
      <c r="V51" s="30" t="str">
        <f>Datos!Q51</f>
        <v>bueno</v>
      </c>
    </row>
    <row r="52" ht="15.75" customHeight="1">
      <c r="A52" s="30">
        <f>Datos!A52</f>
        <v>63029235</v>
      </c>
      <c r="B52" s="30">
        <f>Datos!B52</f>
        <v>450</v>
      </c>
      <c r="C52" s="30">
        <f>Datos!C52</f>
        <v>150</v>
      </c>
      <c r="D52" s="30">
        <f>Datos!D52</f>
        <v>125</v>
      </c>
      <c r="E52" s="30">
        <f>(B52/600)*'PANEL DE CONTROL'!$C$7</f>
        <v>450</v>
      </c>
      <c r="F52" s="30">
        <f>(C52/150)*'PANEL DE CONTROL'!$C$8</f>
        <v>150</v>
      </c>
      <c r="G52" s="30">
        <f>(D52/250)*'PANEL DE CONTROL'!$C$9</f>
        <v>125</v>
      </c>
      <c r="H52" s="30">
        <f t="shared" si="1"/>
        <v>725</v>
      </c>
      <c r="I52" s="30">
        <f>IF(Datos!K52&gt;30,'PANEL DE CONTROL'!$D$14,0)+IF(Datos!M52&gt;80,'PANEL DE CONTROL'!$D$15,0)</f>
        <v>0</v>
      </c>
      <c r="J52" s="30">
        <f>IF(Datos!L52&lt;10,'PANEL DE CONTROL'!$D$16,0)+IF(Datos!N52&gt;24,'PANEL DE CONTROL'!$D$17,0)</f>
        <v>0</v>
      </c>
      <c r="K52" s="30">
        <f t="shared" si="2"/>
        <v>725</v>
      </c>
      <c r="L52" s="30">
        <f>Datos!G52</f>
        <v>830.21</v>
      </c>
      <c r="M52" s="30">
        <f>IF(Datos!O52="muy_nuevo",'PANEL DE CONTROL'!$C$22,IF(Datos!O52="nuevo",'PANEL DE CONTROL'!$C$23,IF(Datos!O52="intermedio",'PANEL DE CONTROL'!$C$24,IF(Datos!O52="establecido",'PANEL DE CONTROL'!$C$25,'PANEL DE CONTROL'!$C$26))))</f>
        <v>0.5</v>
      </c>
      <c r="N52" s="30">
        <f>IF(Datos!J52&gt;=20,0.1,IF(Datos!J52&lt;5,-0.1,0))</f>
        <v>0.1</v>
      </c>
      <c r="O52" s="30">
        <f t="shared" si="3"/>
        <v>0.6</v>
      </c>
      <c r="P52" s="30">
        <f t="shared" si="4"/>
        <v>767.084</v>
      </c>
      <c r="Q52" s="30" t="str">
        <f>IF(P52&gt;='PANEL DE CONTROL'!$B$30,"A+",IF(P52&gt;='PANEL DE CONTROL'!$B$31,"A",IF(P52&gt;='PANEL DE CONTROL'!$B$32,"A-",IF(P52&gt;='PANEL DE CONTROL'!$B$33,"B+",IF(P52&gt;='PANEL DE CONTROL'!$B$34,"B",IF(P52&gt;='PANEL DE CONTROL'!$B$35,"B-",IF(P52&gt;='PANEL DE CONTROL'!$B$36,"C+",IF(P52&gt;='PANEL DE CONTROL'!$B$37,"C",IF(P52&gt;='PANEL DE CONTROL'!$B$38,"C-",IF(P52&gt;='PANEL DE CONTROL'!$B$39,"D+",IF(P52&gt;='PANEL DE CONTROL'!$B$40,"D","F")))))))))))</f>
        <v>B+</v>
      </c>
      <c r="R52" s="30" t="str">
        <f>Datos!I52</f>
        <v>B+</v>
      </c>
      <c r="S52" s="30">
        <f>P52-Datos!H52</f>
        <v>-10.526</v>
      </c>
      <c r="T52" s="30" t="str">
        <f t="shared" si="5"/>
        <v>Empeora</v>
      </c>
      <c r="U52" s="30" t="str">
        <f>Datos!O52</f>
        <v>intermedio</v>
      </c>
      <c r="V52" s="30" t="str">
        <f>Datos!Q52</f>
        <v>bueno</v>
      </c>
    </row>
    <row r="53" ht="15.75" customHeight="1">
      <c r="A53" s="30">
        <f>Datos!A53</f>
        <v>77284741</v>
      </c>
      <c r="B53" s="30">
        <f>Datos!B53</f>
        <v>300</v>
      </c>
      <c r="C53" s="30">
        <f>Datos!C53</f>
        <v>150</v>
      </c>
      <c r="D53" s="30">
        <f>Datos!D53</f>
        <v>200</v>
      </c>
      <c r="E53" s="30">
        <f>(B53/600)*'PANEL DE CONTROL'!$C$7</f>
        <v>300</v>
      </c>
      <c r="F53" s="30">
        <f>(C53/150)*'PANEL DE CONTROL'!$C$8</f>
        <v>150</v>
      </c>
      <c r="G53" s="30">
        <f>(D53/250)*'PANEL DE CONTROL'!$C$9</f>
        <v>200</v>
      </c>
      <c r="H53" s="30">
        <f t="shared" si="1"/>
        <v>650</v>
      </c>
      <c r="I53" s="30">
        <f>IF(Datos!K53&gt;30,'PANEL DE CONTROL'!$D$14,0)+IF(Datos!M53&gt;80,'PANEL DE CONTROL'!$D$15,0)</f>
        <v>0</v>
      </c>
      <c r="J53" s="30">
        <f>IF(Datos!L53&lt;10,'PANEL DE CONTROL'!$D$16,0)+IF(Datos!N53&gt;24,'PANEL DE CONTROL'!$D$17,0)</f>
        <v>0</v>
      </c>
      <c r="K53" s="30">
        <f t="shared" si="2"/>
        <v>650</v>
      </c>
      <c r="L53" s="30">
        <f>Datos!G53</f>
        <v>802.31</v>
      </c>
      <c r="M53" s="30">
        <f>IF(Datos!O53="muy_nuevo",'PANEL DE CONTROL'!$C$22,IF(Datos!O53="nuevo",'PANEL DE CONTROL'!$C$23,IF(Datos!O53="intermedio",'PANEL DE CONTROL'!$C$24,IF(Datos!O53="establecido",'PANEL DE CONTROL'!$C$25,'PANEL DE CONTROL'!$C$26))))</f>
        <v>0.5</v>
      </c>
      <c r="N53" s="30">
        <f>IF(Datos!J53&gt;=20,0.1,IF(Datos!J53&lt;5,-0.1,0))</f>
        <v>0</v>
      </c>
      <c r="O53" s="30">
        <f t="shared" si="3"/>
        <v>0.5</v>
      </c>
      <c r="P53" s="30">
        <f t="shared" si="4"/>
        <v>726.155</v>
      </c>
      <c r="Q53" s="30" t="str">
        <f>IF(P53&gt;='PANEL DE CONTROL'!$B$30,"A+",IF(P53&gt;='PANEL DE CONTROL'!$B$31,"A",IF(P53&gt;='PANEL DE CONTROL'!$B$32,"A-",IF(P53&gt;='PANEL DE CONTROL'!$B$33,"B+",IF(P53&gt;='PANEL DE CONTROL'!$B$34,"B",IF(P53&gt;='PANEL DE CONTROL'!$B$35,"B-",IF(P53&gt;='PANEL DE CONTROL'!$B$36,"C+",IF(P53&gt;='PANEL DE CONTROL'!$B$37,"C",IF(P53&gt;='PANEL DE CONTROL'!$B$38,"C-",IF(P53&gt;='PANEL DE CONTROL'!$B$39,"D+",IF(P53&gt;='PANEL DE CONTROL'!$B$40,"D","F")))))))))))</f>
        <v>B</v>
      </c>
      <c r="R53" s="30" t="str">
        <f>Datos!I53</f>
        <v>B</v>
      </c>
      <c r="S53" s="30">
        <f>P53-Datos!H53</f>
        <v>0.005</v>
      </c>
      <c r="T53" s="30" t="str">
        <f t="shared" si="5"/>
        <v>Igual</v>
      </c>
      <c r="U53" s="30" t="str">
        <f>Datos!O53</f>
        <v>intermedio</v>
      </c>
      <c r="V53" s="30" t="str">
        <f>Datos!Q53</f>
        <v>bueno</v>
      </c>
    </row>
    <row r="54" ht="15.75" customHeight="1">
      <c r="A54" s="30">
        <f>Datos!A54</f>
        <v>34916864</v>
      </c>
      <c r="B54" s="30">
        <f>Datos!B54</f>
        <v>300</v>
      </c>
      <c r="C54" s="30">
        <f>Datos!C54</f>
        <v>150</v>
      </c>
      <c r="D54" s="30">
        <f>Datos!D54</f>
        <v>200</v>
      </c>
      <c r="E54" s="30">
        <f>(B54/600)*'PANEL DE CONTROL'!$C$7</f>
        <v>300</v>
      </c>
      <c r="F54" s="30">
        <f>(C54/150)*'PANEL DE CONTROL'!$C$8</f>
        <v>150</v>
      </c>
      <c r="G54" s="30">
        <f>(D54/250)*'PANEL DE CONTROL'!$C$9</f>
        <v>200</v>
      </c>
      <c r="H54" s="30">
        <f t="shared" si="1"/>
        <v>650</v>
      </c>
      <c r="I54" s="30">
        <f>IF(Datos!K54&gt;30,'PANEL DE CONTROL'!$D$14,0)+IF(Datos!M54&gt;80,'PANEL DE CONTROL'!$D$15,0)</f>
        <v>0</v>
      </c>
      <c r="J54" s="30">
        <f>IF(Datos!L54&lt;10,'PANEL DE CONTROL'!$D$16,0)+IF(Datos!N54&gt;24,'PANEL DE CONTROL'!$D$17,0)</f>
        <v>0</v>
      </c>
      <c r="K54" s="30">
        <f t="shared" si="2"/>
        <v>650</v>
      </c>
      <c r="L54" s="30">
        <f>Datos!G54</f>
        <v>845.04</v>
      </c>
      <c r="M54" s="30">
        <f>IF(Datos!O54="muy_nuevo",'PANEL DE CONTROL'!$C$22,IF(Datos!O54="nuevo",'PANEL DE CONTROL'!$C$23,IF(Datos!O54="intermedio",'PANEL DE CONTROL'!$C$24,IF(Datos!O54="establecido",'PANEL DE CONTROL'!$C$25,'PANEL DE CONTROL'!$C$26))))</f>
        <v>0.5</v>
      </c>
      <c r="N54" s="30">
        <f>IF(Datos!J54&gt;=20,0.1,IF(Datos!J54&lt;5,-0.1,0))</f>
        <v>0</v>
      </c>
      <c r="O54" s="30">
        <f t="shared" si="3"/>
        <v>0.5</v>
      </c>
      <c r="P54" s="30">
        <f t="shared" si="4"/>
        <v>747.52</v>
      </c>
      <c r="Q54" s="30" t="str">
        <f>IF(P54&gt;='PANEL DE CONTROL'!$B$30,"A+",IF(P54&gt;='PANEL DE CONTROL'!$B$31,"A",IF(P54&gt;='PANEL DE CONTROL'!$B$32,"A-",IF(P54&gt;='PANEL DE CONTROL'!$B$33,"B+",IF(P54&gt;='PANEL DE CONTROL'!$B$34,"B",IF(P54&gt;='PANEL DE CONTROL'!$B$35,"B-",IF(P54&gt;='PANEL DE CONTROL'!$B$36,"C+",IF(P54&gt;='PANEL DE CONTROL'!$B$37,"C",IF(P54&gt;='PANEL DE CONTROL'!$B$38,"C-",IF(P54&gt;='PANEL DE CONTROL'!$B$39,"D+",IF(P54&gt;='PANEL DE CONTROL'!$B$40,"D","F")))))))))))</f>
        <v>B</v>
      </c>
      <c r="R54" s="30" t="str">
        <f>Datos!I54</f>
        <v>B</v>
      </c>
      <c r="S54" s="30">
        <f>P54-Datos!H54</f>
        <v>0</v>
      </c>
      <c r="T54" s="30" t="str">
        <f t="shared" si="5"/>
        <v>Igual</v>
      </c>
      <c r="U54" s="30" t="str">
        <f>Datos!O54</f>
        <v>intermedio</v>
      </c>
      <c r="V54" s="30" t="str">
        <f>Datos!Q54</f>
        <v>bueno</v>
      </c>
    </row>
    <row r="55" ht="15.75" customHeight="1">
      <c r="A55" s="30">
        <f>Datos!A55</f>
        <v>16508603</v>
      </c>
      <c r="B55" s="30">
        <f>Datos!B55</f>
        <v>300</v>
      </c>
      <c r="C55" s="30">
        <f>Datos!C55</f>
        <v>150</v>
      </c>
      <c r="D55" s="30">
        <f>Datos!D55</f>
        <v>125</v>
      </c>
      <c r="E55" s="30">
        <f>(B55/600)*'PANEL DE CONTROL'!$C$7</f>
        <v>300</v>
      </c>
      <c r="F55" s="30">
        <f>(C55/150)*'PANEL DE CONTROL'!$C$8</f>
        <v>150</v>
      </c>
      <c r="G55" s="30">
        <f>(D55/250)*'PANEL DE CONTROL'!$C$9</f>
        <v>125</v>
      </c>
      <c r="H55" s="30">
        <f t="shared" si="1"/>
        <v>575</v>
      </c>
      <c r="I55" s="30">
        <f>IF(Datos!K55&gt;30,'PANEL DE CONTROL'!$D$14,0)+IF(Datos!M55&gt;80,'PANEL DE CONTROL'!$D$15,0)</f>
        <v>0</v>
      </c>
      <c r="J55" s="30">
        <f>IF(Datos!L55&lt;10,'PANEL DE CONTROL'!$D$16,0)+IF(Datos!N55&gt;24,'PANEL DE CONTROL'!$D$17,0)</f>
        <v>0</v>
      </c>
      <c r="K55" s="30">
        <f t="shared" si="2"/>
        <v>575</v>
      </c>
      <c r="L55" s="30">
        <f>Datos!G55</f>
        <v>847.44</v>
      </c>
      <c r="M55" s="30">
        <f>IF(Datos!O55="muy_nuevo",'PANEL DE CONTROL'!$C$22,IF(Datos!O55="nuevo",'PANEL DE CONTROL'!$C$23,IF(Datos!O55="intermedio",'PANEL DE CONTROL'!$C$24,IF(Datos!O55="establecido",'PANEL DE CONTROL'!$C$25,'PANEL DE CONTROL'!$C$26))))</f>
        <v>0.5</v>
      </c>
      <c r="N55" s="30">
        <f>IF(Datos!J55&gt;=20,0.1,IF(Datos!J55&lt;5,-0.1,0))</f>
        <v>0.1</v>
      </c>
      <c r="O55" s="30">
        <f t="shared" si="3"/>
        <v>0.6</v>
      </c>
      <c r="P55" s="30">
        <f t="shared" si="4"/>
        <v>683.976</v>
      </c>
      <c r="Q55" s="30" t="str">
        <f>IF(P55&gt;='PANEL DE CONTROL'!$B$30,"A+",IF(P55&gt;='PANEL DE CONTROL'!$B$31,"A",IF(P55&gt;='PANEL DE CONTROL'!$B$32,"A-",IF(P55&gt;='PANEL DE CONTROL'!$B$33,"B+",IF(P55&gt;='PANEL DE CONTROL'!$B$34,"B",IF(P55&gt;='PANEL DE CONTROL'!$B$35,"B-",IF(P55&gt;='PANEL DE CONTROL'!$B$36,"C+",IF(P55&gt;='PANEL DE CONTROL'!$B$37,"C",IF(P55&gt;='PANEL DE CONTROL'!$B$38,"C-",IF(P55&gt;='PANEL DE CONTROL'!$B$39,"D+",IF(P55&gt;='PANEL DE CONTROL'!$B$40,"D","F")))))))))))</f>
        <v>B-</v>
      </c>
      <c r="R55" s="30" t="str">
        <f>Datos!I55</f>
        <v>B</v>
      </c>
      <c r="S55" s="30">
        <f>P55-Datos!H55</f>
        <v>-27.244</v>
      </c>
      <c r="T55" s="30" t="str">
        <f t="shared" si="5"/>
        <v>Empeora</v>
      </c>
      <c r="U55" s="30" t="str">
        <f>Datos!O55</f>
        <v>intermedio</v>
      </c>
      <c r="V55" s="30" t="str">
        <f>Datos!Q55</f>
        <v>bueno</v>
      </c>
    </row>
    <row r="56" ht="15.75" customHeight="1">
      <c r="A56" s="30">
        <f>Datos!A56</f>
        <v>73991499</v>
      </c>
      <c r="B56" s="30">
        <f>Datos!B56</f>
        <v>300</v>
      </c>
      <c r="C56" s="30">
        <f>Datos!C56</f>
        <v>150</v>
      </c>
      <c r="D56" s="30">
        <f>Datos!D56</f>
        <v>200</v>
      </c>
      <c r="E56" s="30">
        <f>(B56/600)*'PANEL DE CONTROL'!$C$7</f>
        <v>300</v>
      </c>
      <c r="F56" s="30">
        <f>(C56/150)*'PANEL DE CONTROL'!$C$8</f>
        <v>150</v>
      </c>
      <c r="G56" s="30">
        <f>(D56/250)*'PANEL DE CONTROL'!$C$9</f>
        <v>200</v>
      </c>
      <c r="H56" s="30">
        <f t="shared" si="1"/>
        <v>650</v>
      </c>
      <c r="I56" s="30">
        <f>IF(Datos!K56&gt;30,'PANEL DE CONTROL'!$D$14,0)+IF(Datos!M56&gt;80,'PANEL DE CONTROL'!$D$15,0)</f>
        <v>0</v>
      </c>
      <c r="J56" s="30">
        <f>IF(Datos!L56&lt;10,'PANEL DE CONTROL'!$D$16,0)+IF(Datos!N56&gt;24,'PANEL DE CONTROL'!$D$17,0)</f>
        <v>0</v>
      </c>
      <c r="K56" s="30">
        <f t="shared" si="2"/>
        <v>650</v>
      </c>
      <c r="L56" s="30">
        <f>Datos!G56</f>
        <v>844.98</v>
      </c>
      <c r="M56" s="30">
        <f>IF(Datos!O56="muy_nuevo",'PANEL DE CONTROL'!$C$22,IF(Datos!O56="nuevo",'PANEL DE CONTROL'!$C$23,IF(Datos!O56="intermedio",'PANEL DE CONTROL'!$C$24,IF(Datos!O56="establecido",'PANEL DE CONTROL'!$C$25,'PANEL DE CONTROL'!$C$26))))</f>
        <v>0.5</v>
      </c>
      <c r="N56" s="30">
        <f>IF(Datos!J56&gt;=20,0.1,IF(Datos!J56&lt;5,-0.1,0))</f>
        <v>0.1</v>
      </c>
      <c r="O56" s="30">
        <f t="shared" si="3"/>
        <v>0.6</v>
      </c>
      <c r="P56" s="30">
        <f t="shared" si="4"/>
        <v>727.992</v>
      </c>
      <c r="Q56" s="30" t="str">
        <f>IF(P56&gt;='PANEL DE CONTROL'!$B$30,"A+",IF(P56&gt;='PANEL DE CONTROL'!$B$31,"A",IF(P56&gt;='PANEL DE CONTROL'!$B$32,"A-",IF(P56&gt;='PANEL DE CONTROL'!$B$33,"B+",IF(P56&gt;='PANEL DE CONTROL'!$B$34,"B",IF(P56&gt;='PANEL DE CONTROL'!$B$35,"B-",IF(P56&gt;='PANEL DE CONTROL'!$B$36,"C+",IF(P56&gt;='PANEL DE CONTROL'!$B$37,"C",IF(P56&gt;='PANEL DE CONTROL'!$B$38,"C-",IF(P56&gt;='PANEL DE CONTROL'!$B$39,"D+",IF(P56&gt;='PANEL DE CONTROL'!$B$40,"D","F")))))))))))</f>
        <v>B</v>
      </c>
      <c r="R56" s="30" t="str">
        <f>Datos!I56</f>
        <v>B</v>
      </c>
      <c r="S56" s="30">
        <f>P56-Datos!H56</f>
        <v>-19.498</v>
      </c>
      <c r="T56" s="30" t="str">
        <f t="shared" si="5"/>
        <v>Empeora</v>
      </c>
      <c r="U56" s="30" t="str">
        <f>Datos!O56</f>
        <v>intermedio</v>
      </c>
      <c r="V56" s="30" t="str">
        <f>Datos!Q56</f>
        <v>bueno</v>
      </c>
    </row>
    <row r="57" ht="15.75" customHeight="1">
      <c r="A57" s="30">
        <f>Datos!A57</f>
        <v>71562271</v>
      </c>
      <c r="B57" s="30">
        <f>Datos!B57</f>
        <v>450</v>
      </c>
      <c r="C57" s="30">
        <f>Datos!C57</f>
        <v>150</v>
      </c>
      <c r="D57" s="30">
        <f>Datos!D57</f>
        <v>200</v>
      </c>
      <c r="E57" s="30">
        <f>(B57/600)*'PANEL DE CONTROL'!$C$7</f>
        <v>450</v>
      </c>
      <c r="F57" s="30">
        <f>(C57/150)*'PANEL DE CONTROL'!$C$8</f>
        <v>150</v>
      </c>
      <c r="G57" s="30">
        <f>(D57/250)*'PANEL DE CONTROL'!$C$9</f>
        <v>200</v>
      </c>
      <c r="H57" s="30">
        <f t="shared" si="1"/>
        <v>800</v>
      </c>
      <c r="I57" s="30">
        <f>IF(Datos!K57&gt;30,'PANEL DE CONTROL'!$D$14,0)+IF(Datos!M57&gt;80,'PANEL DE CONTROL'!$D$15,0)</f>
        <v>0</v>
      </c>
      <c r="J57" s="30">
        <f>IF(Datos!L57&lt;10,'PANEL DE CONTROL'!$D$16,0)+IF(Datos!N57&gt;24,'PANEL DE CONTROL'!$D$17,0)</f>
        <v>0</v>
      </c>
      <c r="K57" s="30">
        <f t="shared" si="2"/>
        <v>800</v>
      </c>
      <c r="L57" s="30">
        <f>Datos!G57</f>
        <v>798.04</v>
      </c>
      <c r="M57" s="30">
        <f>IF(Datos!O57="muy_nuevo",'PANEL DE CONTROL'!$C$22,IF(Datos!O57="nuevo",'PANEL DE CONTROL'!$C$23,IF(Datos!O57="intermedio",'PANEL DE CONTROL'!$C$24,IF(Datos!O57="establecido",'PANEL DE CONTROL'!$C$25,'PANEL DE CONTROL'!$C$26))))</f>
        <v>0.5</v>
      </c>
      <c r="N57" s="30">
        <f>IF(Datos!J57&gt;=20,0.1,IF(Datos!J57&lt;5,-0.1,0))</f>
        <v>0</v>
      </c>
      <c r="O57" s="30">
        <f t="shared" si="3"/>
        <v>0.5</v>
      </c>
      <c r="P57" s="30">
        <f t="shared" si="4"/>
        <v>799.02</v>
      </c>
      <c r="Q57" s="30" t="str">
        <f>IF(P57&gt;='PANEL DE CONTROL'!$B$30,"A+",IF(P57&gt;='PANEL DE CONTROL'!$B$31,"A",IF(P57&gt;='PANEL DE CONTROL'!$B$32,"A-",IF(P57&gt;='PANEL DE CONTROL'!$B$33,"B+",IF(P57&gt;='PANEL DE CONTROL'!$B$34,"B",IF(P57&gt;='PANEL DE CONTROL'!$B$35,"B-",IF(P57&gt;='PANEL DE CONTROL'!$B$36,"C+",IF(P57&gt;='PANEL DE CONTROL'!$B$37,"C",IF(P57&gt;='PANEL DE CONTROL'!$B$38,"C-",IF(P57&gt;='PANEL DE CONTROL'!$B$39,"D+",IF(P57&gt;='PANEL DE CONTROL'!$B$40,"D","F")))))))))))</f>
        <v>B+</v>
      </c>
      <c r="R57" s="30" t="str">
        <f>Datos!I57</f>
        <v>B+</v>
      </c>
      <c r="S57" s="30">
        <f>P57-Datos!H57</f>
        <v>0</v>
      </c>
      <c r="T57" s="30" t="str">
        <f t="shared" si="5"/>
        <v>Igual</v>
      </c>
      <c r="U57" s="30" t="str">
        <f>Datos!O57</f>
        <v>intermedio</v>
      </c>
      <c r="V57" s="30" t="str">
        <f>Datos!Q57</f>
        <v>bueno</v>
      </c>
    </row>
    <row r="58" ht="15.75" customHeight="1">
      <c r="A58" s="30">
        <f>Datos!A58</f>
        <v>22205912</v>
      </c>
      <c r="B58" s="30">
        <f>Datos!B58</f>
        <v>450</v>
      </c>
      <c r="C58" s="30">
        <f>Datos!C58</f>
        <v>150</v>
      </c>
      <c r="D58" s="30">
        <f>Datos!D58</f>
        <v>200</v>
      </c>
      <c r="E58" s="30">
        <f>(B58/600)*'PANEL DE CONTROL'!$C$7</f>
        <v>450</v>
      </c>
      <c r="F58" s="30">
        <f>(C58/150)*'PANEL DE CONTROL'!$C$8</f>
        <v>150</v>
      </c>
      <c r="G58" s="30">
        <f>(D58/250)*'PANEL DE CONTROL'!$C$9</f>
        <v>200</v>
      </c>
      <c r="H58" s="30">
        <f t="shared" si="1"/>
        <v>800</v>
      </c>
      <c r="I58" s="30">
        <f>IF(Datos!K58&gt;30,'PANEL DE CONTROL'!$D$14,0)+IF(Datos!M58&gt;80,'PANEL DE CONTROL'!$D$15,0)</f>
        <v>0</v>
      </c>
      <c r="J58" s="30">
        <f>IF(Datos!L58&lt;10,'PANEL DE CONTROL'!$D$16,0)+IF(Datos!N58&gt;24,'PANEL DE CONTROL'!$D$17,0)</f>
        <v>0</v>
      </c>
      <c r="K58" s="30">
        <f t="shared" si="2"/>
        <v>800</v>
      </c>
      <c r="L58" s="30">
        <f>Datos!G58</f>
        <v>763.39</v>
      </c>
      <c r="M58" s="30">
        <f>IF(Datos!O58="muy_nuevo",'PANEL DE CONTROL'!$C$22,IF(Datos!O58="nuevo",'PANEL DE CONTROL'!$C$23,IF(Datos!O58="intermedio",'PANEL DE CONTROL'!$C$24,IF(Datos!O58="establecido",'PANEL DE CONTROL'!$C$25,'PANEL DE CONTROL'!$C$26))))</f>
        <v>0.6</v>
      </c>
      <c r="N58" s="30">
        <f>IF(Datos!J58&gt;=20,0.1,IF(Datos!J58&lt;5,-0.1,0))</f>
        <v>0</v>
      </c>
      <c r="O58" s="30">
        <f t="shared" si="3"/>
        <v>0.6</v>
      </c>
      <c r="P58" s="30">
        <f t="shared" si="4"/>
        <v>785.356</v>
      </c>
      <c r="Q58" s="30" t="str">
        <f>IF(P58&gt;='PANEL DE CONTROL'!$B$30,"A+",IF(P58&gt;='PANEL DE CONTROL'!$B$31,"A",IF(P58&gt;='PANEL DE CONTROL'!$B$32,"A-",IF(P58&gt;='PANEL DE CONTROL'!$B$33,"B+",IF(P58&gt;='PANEL DE CONTROL'!$B$34,"B",IF(P58&gt;='PANEL DE CONTROL'!$B$35,"B-",IF(P58&gt;='PANEL DE CONTROL'!$B$36,"C+",IF(P58&gt;='PANEL DE CONTROL'!$B$37,"C",IF(P58&gt;='PANEL DE CONTROL'!$B$38,"C-",IF(P58&gt;='PANEL DE CONTROL'!$B$39,"D+",IF(P58&gt;='PANEL DE CONTROL'!$B$40,"D","F")))))))))))</f>
        <v>B+</v>
      </c>
      <c r="R58" s="30" t="str">
        <f>Datos!I58</f>
        <v>B+</v>
      </c>
      <c r="S58" s="30">
        <f>P58-Datos!H58</f>
        <v>0.006</v>
      </c>
      <c r="T58" s="30" t="str">
        <f t="shared" si="5"/>
        <v>Igual</v>
      </c>
      <c r="U58" s="30" t="str">
        <f>Datos!O58</f>
        <v>establecido</v>
      </c>
      <c r="V58" s="30" t="str">
        <f>Datos!Q58</f>
        <v>bueno</v>
      </c>
    </row>
    <row r="59" ht="15.75" customHeight="1">
      <c r="A59" s="30">
        <f>Datos!A59</f>
        <v>78451792</v>
      </c>
      <c r="B59" s="30">
        <f>Datos!B59</f>
        <v>450</v>
      </c>
      <c r="C59" s="30">
        <f>Datos!C59</f>
        <v>150</v>
      </c>
      <c r="D59" s="30">
        <f>Datos!D59</f>
        <v>200</v>
      </c>
      <c r="E59" s="30">
        <f>(B59/600)*'PANEL DE CONTROL'!$C$7</f>
        <v>450</v>
      </c>
      <c r="F59" s="30">
        <f>(C59/150)*'PANEL DE CONTROL'!$C$8</f>
        <v>150</v>
      </c>
      <c r="G59" s="30">
        <f>(D59/250)*'PANEL DE CONTROL'!$C$9</f>
        <v>200</v>
      </c>
      <c r="H59" s="30">
        <f t="shared" si="1"/>
        <v>800</v>
      </c>
      <c r="I59" s="30">
        <f>IF(Datos!K59&gt;30,'PANEL DE CONTROL'!$D$14,0)+IF(Datos!M59&gt;80,'PANEL DE CONTROL'!$D$15,0)</f>
        <v>0</v>
      </c>
      <c r="J59" s="30">
        <f>IF(Datos!L59&lt;10,'PANEL DE CONTROL'!$D$16,0)+IF(Datos!N59&gt;24,'PANEL DE CONTROL'!$D$17,0)</f>
        <v>0</v>
      </c>
      <c r="K59" s="30">
        <f t="shared" si="2"/>
        <v>800</v>
      </c>
      <c r="L59" s="30">
        <f>Datos!G59</f>
        <v>834.96</v>
      </c>
      <c r="M59" s="30">
        <f>IF(Datos!O59="muy_nuevo",'PANEL DE CONTROL'!$C$22,IF(Datos!O59="nuevo",'PANEL DE CONTROL'!$C$23,IF(Datos!O59="intermedio",'PANEL DE CONTROL'!$C$24,IF(Datos!O59="establecido",'PANEL DE CONTROL'!$C$25,'PANEL DE CONTROL'!$C$26))))</f>
        <v>0.6</v>
      </c>
      <c r="N59" s="30">
        <f>IF(Datos!J59&gt;=20,0.1,IF(Datos!J59&lt;5,-0.1,0))</f>
        <v>0</v>
      </c>
      <c r="O59" s="30">
        <f t="shared" si="3"/>
        <v>0.6</v>
      </c>
      <c r="P59" s="30">
        <f t="shared" si="4"/>
        <v>813.984</v>
      </c>
      <c r="Q59" s="30" t="str">
        <f>IF(P59&gt;='PANEL DE CONTROL'!$B$30,"A+",IF(P59&gt;='PANEL DE CONTROL'!$B$31,"A",IF(P59&gt;='PANEL DE CONTROL'!$B$32,"A-",IF(P59&gt;='PANEL DE CONTROL'!$B$33,"B+",IF(P59&gt;='PANEL DE CONTROL'!$B$34,"B",IF(P59&gt;='PANEL DE CONTROL'!$B$35,"B-",IF(P59&gt;='PANEL DE CONTROL'!$B$36,"C+",IF(P59&gt;='PANEL DE CONTROL'!$B$37,"C",IF(P59&gt;='PANEL DE CONTROL'!$B$38,"C-",IF(P59&gt;='PANEL DE CONTROL'!$B$39,"D+",IF(P59&gt;='PANEL DE CONTROL'!$B$40,"D","F")))))))))))</f>
        <v>A-</v>
      </c>
      <c r="R59" s="30" t="str">
        <f>Datos!I59</f>
        <v>A-</v>
      </c>
      <c r="S59" s="30">
        <f>P59-Datos!H59</f>
        <v>-0.006</v>
      </c>
      <c r="T59" s="30" t="str">
        <f t="shared" si="5"/>
        <v>Igual</v>
      </c>
      <c r="U59" s="30" t="str">
        <f>Datos!O59</f>
        <v>establecido</v>
      </c>
      <c r="V59" s="30" t="str">
        <f>Datos!Q59</f>
        <v>bueno</v>
      </c>
    </row>
    <row r="60" ht="15.75" customHeight="1">
      <c r="A60" s="30">
        <f>Datos!A60</f>
        <v>42197234</v>
      </c>
      <c r="B60" s="30">
        <f>Datos!B60</f>
        <v>300</v>
      </c>
      <c r="C60" s="30">
        <f>Datos!C60</f>
        <v>100</v>
      </c>
      <c r="D60" s="30">
        <f>Datos!D60</f>
        <v>125</v>
      </c>
      <c r="E60" s="30">
        <f>(B60/600)*'PANEL DE CONTROL'!$C$7</f>
        <v>300</v>
      </c>
      <c r="F60" s="30">
        <f>(C60/150)*'PANEL DE CONTROL'!$C$8</f>
        <v>100</v>
      </c>
      <c r="G60" s="30">
        <f>(D60/250)*'PANEL DE CONTROL'!$C$9</f>
        <v>125</v>
      </c>
      <c r="H60" s="30">
        <f t="shared" si="1"/>
        <v>525</v>
      </c>
      <c r="I60" s="30">
        <f>IF(Datos!K60&gt;30,'PANEL DE CONTROL'!$D$14,0)+IF(Datos!M60&gt;80,'PANEL DE CONTROL'!$D$15,0)</f>
        <v>0</v>
      </c>
      <c r="J60" s="30">
        <f>IF(Datos!L60&lt;10,'PANEL DE CONTROL'!$D$16,0)+IF(Datos!N60&gt;24,'PANEL DE CONTROL'!$D$17,0)</f>
        <v>0</v>
      </c>
      <c r="K60" s="30">
        <f t="shared" si="2"/>
        <v>525</v>
      </c>
      <c r="L60" s="30">
        <f>Datos!G60</f>
        <v>785.82</v>
      </c>
      <c r="M60" s="30">
        <f>IF(Datos!O60="muy_nuevo",'PANEL DE CONTROL'!$C$22,IF(Datos!O60="nuevo",'PANEL DE CONTROL'!$C$23,IF(Datos!O60="intermedio",'PANEL DE CONTROL'!$C$24,IF(Datos!O60="establecido",'PANEL DE CONTROL'!$C$25,'PANEL DE CONTROL'!$C$26))))</f>
        <v>0.6</v>
      </c>
      <c r="N60" s="30">
        <f>IF(Datos!J60&gt;=20,0.1,IF(Datos!J60&lt;5,-0.1,0))</f>
        <v>0.1</v>
      </c>
      <c r="O60" s="30">
        <f t="shared" si="3"/>
        <v>0.7</v>
      </c>
      <c r="P60" s="30">
        <f t="shared" si="4"/>
        <v>603.246</v>
      </c>
      <c r="Q60" s="30" t="str">
        <f>IF(P60&gt;='PANEL DE CONTROL'!$B$30,"A+",IF(P60&gt;='PANEL DE CONTROL'!$B$31,"A",IF(P60&gt;='PANEL DE CONTROL'!$B$32,"A-",IF(P60&gt;='PANEL DE CONTROL'!$B$33,"B+",IF(P60&gt;='PANEL DE CONTROL'!$B$34,"B",IF(P60&gt;='PANEL DE CONTROL'!$B$35,"B-",IF(P60&gt;='PANEL DE CONTROL'!$B$36,"C+",IF(P60&gt;='PANEL DE CONTROL'!$B$37,"C",IF(P60&gt;='PANEL DE CONTROL'!$B$38,"C-",IF(P60&gt;='PANEL DE CONTROL'!$B$39,"D+",IF(P60&gt;='PANEL DE CONTROL'!$B$40,"D","F")))))))))))</f>
        <v>C+</v>
      </c>
      <c r="R60" s="30" t="str">
        <f>Datos!I60</f>
        <v>C+</v>
      </c>
      <c r="S60" s="30">
        <f>P60-Datos!H60</f>
        <v>-26.084</v>
      </c>
      <c r="T60" s="30" t="str">
        <f t="shared" si="5"/>
        <v>Empeora</v>
      </c>
      <c r="U60" s="30" t="str">
        <f>Datos!O60</f>
        <v>establecido</v>
      </c>
      <c r="V60" s="30" t="str">
        <f>Datos!Q60</f>
        <v>bueno</v>
      </c>
    </row>
    <row r="61" ht="15.75" customHeight="1">
      <c r="A61" s="30">
        <f>Datos!A61</f>
        <v>54854337</v>
      </c>
      <c r="B61" s="30">
        <f>Datos!B61</f>
        <v>450</v>
      </c>
      <c r="C61" s="30">
        <f>Datos!C61</f>
        <v>150</v>
      </c>
      <c r="D61" s="30">
        <f>Datos!D61</f>
        <v>200</v>
      </c>
      <c r="E61" s="30">
        <f>(B61/600)*'PANEL DE CONTROL'!$C$7</f>
        <v>450</v>
      </c>
      <c r="F61" s="30">
        <f>(C61/150)*'PANEL DE CONTROL'!$C$8</f>
        <v>150</v>
      </c>
      <c r="G61" s="30">
        <f>(D61/250)*'PANEL DE CONTROL'!$C$9</f>
        <v>200</v>
      </c>
      <c r="H61" s="30">
        <f t="shared" si="1"/>
        <v>800</v>
      </c>
      <c r="I61" s="30">
        <f>IF(Datos!K61&gt;30,'PANEL DE CONTROL'!$D$14,0)+IF(Datos!M61&gt;80,'PANEL DE CONTROL'!$D$15,0)</f>
        <v>0</v>
      </c>
      <c r="J61" s="30">
        <f>IF(Datos!L61&lt;10,'PANEL DE CONTROL'!$D$16,0)+IF(Datos!N61&gt;24,'PANEL DE CONTROL'!$D$17,0)</f>
        <v>0</v>
      </c>
      <c r="K61" s="30">
        <f t="shared" si="2"/>
        <v>800</v>
      </c>
      <c r="L61" s="30">
        <f>Datos!G61</f>
        <v>837.67</v>
      </c>
      <c r="M61" s="30">
        <f>IF(Datos!O61="muy_nuevo",'PANEL DE CONTROL'!$C$22,IF(Datos!O61="nuevo",'PANEL DE CONTROL'!$C$23,IF(Datos!O61="intermedio",'PANEL DE CONTROL'!$C$24,IF(Datos!O61="establecido",'PANEL DE CONTROL'!$C$25,'PANEL DE CONTROL'!$C$26))))</f>
        <v>0.6</v>
      </c>
      <c r="N61" s="30">
        <f>IF(Datos!J61&gt;=20,0.1,IF(Datos!J61&lt;5,-0.1,0))</f>
        <v>0.1</v>
      </c>
      <c r="O61" s="30">
        <f t="shared" si="3"/>
        <v>0.7</v>
      </c>
      <c r="P61" s="30">
        <f t="shared" si="4"/>
        <v>811.301</v>
      </c>
      <c r="Q61" s="30" t="str">
        <f>IF(P61&gt;='PANEL DE CONTROL'!$B$30,"A+",IF(P61&gt;='PANEL DE CONTROL'!$B$31,"A",IF(P61&gt;='PANEL DE CONTROL'!$B$32,"A-",IF(P61&gt;='PANEL DE CONTROL'!$B$33,"B+",IF(P61&gt;='PANEL DE CONTROL'!$B$34,"B",IF(P61&gt;='PANEL DE CONTROL'!$B$35,"B-",IF(P61&gt;='PANEL DE CONTROL'!$B$36,"C+",IF(P61&gt;='PANEL DE CONTROL'!$B$37,"C",IF(P61&gt;='PANEL DE CONTROL'!$B$38,"C-",IF(P61&gt;='PANEL DE CONTROL'!$B$39,"D+",IF(P61&gt;='PANEL DE CONTROL'!$B$40,"D","F")))))))))))</f>
        <v>A-</v>
      </c>
      <c r="R61" s="30" t="str">
        <f>Datos!I61</f>
        <v>A-</v>
      </c>
      <c r="S61" s="30">
        <f>P61-Datos!H61</f>
        <v>-3.769</v>
      </c>
      <c r="T61" s="30" t="str">
        <f t="shared" si="5"/>
        <v>Igual</v>
      </c>
      <c r="U61" s="30" t="str">
        <f>Datos!O61</f>
        <v>establecido</v>
      </c>
      <c r="V61" s="30" t="str">
        <f>Datos!Q61</f>
        <v>bueno</v>
      </c>
    </row>
    <row r="62" ht="15.75" customHeight="1">
      <c r="A62" s="30">
        <f>Datos!A62</f>
        <v>59520043</v>
      </c>
      <c r="B62" s="30">
        <f>Datos!B62</f>
        <v>450</v>
      </c>
      <c r="C62" s="30">
        <f>Datos!C62</f>
        <v>150</v>
      </c>
      <c r="D62" s="30">
        <f>Datos!D62</f>
        <v>200</v>
      </c>
      <c r="E62" s="30">
        <f>(B62/600)*'PANEL DE CONTROL'!$C$7</f>
        <v>450</v>
      </c>
      <c r="F62" s="30">
        <f>(C62/150)*'PANEL DE CONTROL'!$C$8</f>
        <v>150</v>
      </c>
      <c r="G62" s="30">
        <f>(D62/250)*'PANEL DE CONTROL'!$C$9</f>
        <v>200</v>
      </c>
      <c r="H62" s="30">
        <f t="shared" si="1"/>
        <v>800</v>
      </c>
      <c r="I62" s="30">
        <f>IF(Datos!K62&gt;30,'PANEL DE CONTROL'!$D$14,0)+IF(Datos!M62&gt;80,'PANEL DE CONTROL'!$D$15,0)</f>
        <v>0</v>
      </c>
      <c r="J62" s="30">
        <f>IF(Datos!L62&lt;10,'PANEL DE CONTROL'!$D$16,0)+IF(Datos!N62&gt;24,'PANEL DE CONTROL'!$D$17,0)</f>
        <v>0</v>
      </c>
      <c r="K62" s="30">
        <f t="shared" si="2"/>
        <v>800</v>
      </c>
      <c r="L62" s="30">
        <f>Datos!G62</f>
        <v>810.81</v>
      </c>
      <c r="M62" s="30">
        <f>IF(Datos!O62="muy_nuevo",'PANEL DE CONTROL'!$C$22,IF(Datos!O62="nuevo",'PANEL DE CONTROL'!$C$23,IF(Datos!O62="intermedio",'PANEL DE CONTROL'!$C$24,IF(Datos!O62="establecido",'PANEL DE CONTROL'!$C$25,'PANEL DE CONTROL'!$C$26))))</f>
        <v>0.5</v>
      </c>
      <c r="N62" s="30">
        <f>IF(Datos!J62&gt;=20,0.1,IF(Datos!J62&lt;5,-0.1,0))</f>
        <v>0</v>
      </c>
      <c r="O62" s="30">
        <f t="shared" si="3"/>
        <v>0.5</v>
      </c>
      <c r="P62" s="30">
        <f t="shared" si="4"/>
        <v>805.405</v>
      </c>
      <c r="Q62" s="30" t="str">
        <f>IF(P62&gt;='PANEL DE CONTROL'!$B$30,"A+",IF(P62&gt;='PANEL DE CONTROL'!$B$31,"A",IF(P62&gt;='PANEL DE CONTROL'!$B$32,"A-",IF(P62&gt;='PANEL DE CONTROL'!$B$33,"B+",IF(P62&gt;='PANEL DE CONTROL'!$B$34,"B",IF(P62&gt;='PANEL DE CONTROL'!$B$35,"B-",IF(P62&gt;='PANEL DE CONTROL'!$B$36,"C+",IF(P62&gt;='PANEL DE CONTROL'!$B$37,"C",IF(P62&gt;='PANEL DE CONTROL'!$B$38,"C-",IF(P62&gt;='PANEL DE CONTROL'!$B$39,"D+",IF(P62&gt;='PANEL DE CONTROL'!$B$40,"D","F")))))))))))</f>
        <v>A-</v>
      </c>
      <c r="R62" s="30" t="str">
        <f>Datos!I62</f>
        <v>A-</v>
      </c>
      <c r="S62" s="30">
        <f>P62-Datos!H62</f>
        <v>0.005</v>
      </c>
      <c r="T62" s="30" t="str">
        <f t="shared" si="5"/>
        <v>Igual</v>
      </c>
      <c r="U62" s="30" t="str">
        <f>Datos!O62</f>
        <v>intermedio</v>
      </c>
      <c r="V62" s="30" t="str">
        <f>Datos!Q62</f>
        <v>bueno</v>
      </c>
    </row>
    <row r="63" ht="15.75" customHeight="1">
      <c r="A63" s="30">
        <f>Datos!A63</f>
        <v>90483319</v>
      </c>
      <c r="B63" s="30">
        <f>Datos!B63</f>
        <v>450</v>
      </c>
      <c r="C63" s="30">
        <f>Datos!C63</f>
        <v>150</v>
      </c>
      <c r="D63" s="30">
        <f>Datos!D63</f>
        <v>125</v>
      </c>
      <c r="E63" s="30">
        <f>(B63/600)*'PANEL DE CONTROL'!$C$7</f>
        <v>450</v>
      </c>
      <c r="F63" s="30">
        <f>(C63/150)*'PANEL DE CONTROL'!$C$8</f>
        <v>150</v>
      </c>
      <c r="G63" s="30">
        <f>(D63/250)*'PANEL DE CONTROL'!$C$9</f>
        <v>125</v>
      </c>
      <c r="H63" s="30">
        <f t="shared" si="1"/>
        <v>725</v>
      </c>
      <c r="I63" s="30">
        <f>IF(Datos!K63&gt;30,'PANEL DE CONTROL'!$D$14,0)+IF(Datos!M63&gt;80,'PANEL DE CONTROL'!$D$15,0)</f>
        <v>0</v>
      </c>
      <c r="J63" s="30">
        <f>IF(Datos!L63&lt;10,'PANEL DE CONTROL'!$D$16,0)+IF(Datos!N63&gt;24,'PANEL DE CONTROL'!$D$17,0)</f>
        <v>0</v>
      </c>
      <c r="K63" s="30">
        <f t="shared" si="2"/>
        <v>725</v>
      </c>
      <c r="L63" s="30">
        <f>Datos!G63</f>
        <v>802.36</v>
      </c>
      <c r="M63" s="30">
        <f>IF(Datos!O63="muy_nuevo",'PANEL DE CONTROL'!$C$22,IF(Datos!O63="nuevo",'PANEL DE CONTROL'!$C$23,IF(Datos!O63="intermedio",'PANEL DE CONTROL'!$C$24,IF(Datos!O63="establecido",'PANEL DE CONTROL'!$C$25,'PANEL DE CONTROL'!$C$26))))</f>
        <v>0.5</v>
      </c>
      <c r="N63" s="30">
        <f>IF(Datos!J63&gt;=20,0.1,IF(Datos!J63&lt;5,-0.1,0))</f>
        <v>0.1</v>
      </c>
      <c r="O63" s="30">
        <f t="shared" si="3"/>
        <v>0.6</v>
      </c>
      <c r="P63" s="30">
        <f t="shared" si="4"/>
        <v>755.944</v>
      </c>
      <c r="Q63" s="30" t="str">
        <f>IF(P63&gt;='PANEL DE CONTROL'!$B$30,"A+",IF(P63&gt;='PANEL DE CONTROL'!$B$31,"A",IF(P63&gt;='PANEL DE CONTROL'!$B$32,"A-",IF(P63&gt;='PANEL DE CONTROL'!$B$33,"B+",IF(P63&gt;='PANEL DE CONTROL'!$B$34,"B",IF(P63&gt;='PANEL DE CONTROL'!$B$35,"B-",IF(P63&gt;='PANEL DE CONTROL'!$B$36,"C+",IF(P63&gt;='PANEL DE CONTROL'!$B$37,"C",IF(P63&gt;='PANEL DE CONTROL'!$B$38,"C-",IF(P63&gt;='PANEL DE CONTROL'!$B$39,"D+",IF(P63&gt;='PANEL DE CONTROL'!$B$40,"D","F")))))))))))</f>
        <v>B+</v>
      </c>
      <c r="R63" s="30" t="str">
        <f>Datos!I63</f>
        <v>B+</v>
      </c>
      <c r="S63" s="30">
        <f>P63-Datos!H63</f>
        <v>-7.736</v>
      </c>
      <c r="T63" s="30" t="str">
        <f t="shared" si="5"/>
        <v>Empeora</v>
      </c>
      <c r="U63" s="30" t="str">
        <f>Datos!O63</f>
        <v>intermedio</v>
      </c>
      <c r="V63" s="30" t="str">
        <f>Datos!Q63</f>
        <v>bueno</v>
      </c>
    </row>
    <row r="64" ht="15.75" customHeight="1">
      <c r="A64" s="30">
        <f>Datos!A64</f>
        <v>17042779</v>
      </c>
      <c r="B64" s="30">
        <f>Datos!B64</f>
        <v>300</v>
      </c>
      <c r="C64" s="30">
        <f>Datos!C64</f>
        <v>150</v>
      </c>
      <c r="D64" s="30">
        <f>Datos!D64</f>
        <v>125</v>
      </c>
      <c r="E64" s="30">
        <f>(B64/600)*'PANEL DE CONTROL'!$C$7</f>
        <v>300</v>
      </c>
      <c r="F64" s="30">
        <f>(C64/150)*'PANEL DE CONTROL'!$C$8</f>
        <v>150</v>
      </c>
      <c r="G64" s="30">
        <f>(D64/250)*'PANEL DE CONTROL'!$C$9</f>
        <v>125</v>
      </c>
      <c r="H64" s="30">
        <f t="shared" si="1"/>
        <v>575</v>
      </c>
      <c r="I64" s="30">
        <f>IF(Datos!K64&gt;30,'PANEL DE CONTROL'!$D$14,0)+IF(Datos!M64&gt;80,'PANEL DE CONTROL'!$D$15,0)</f>
        <v>0</v>
      </c>
      <c r="J64" s="30">
        <f>IF(Datos!L64&lt;10,'PANEL DE CONTROL'!$D$16,0)+IF(Datos!N64&gt;24,'PANEL DE CONTROL'!$D$17,0)</f>
        <v>0</v>
      </c>
      <c r="K64" s="30">
        <f t="shared" si="2"/>
        <v>575</v>
      </c>
      <c r="L64" s="30">
        <f>Datos!G64</f>
        <v>784.74</v>
      </c>
      <c r="M64" s="30">
        <f>IF(Datos!O64="muy_nuevo",'PANEL DE CONTROL'!$C$22,IF(Datos!O64="nuevo",'PANEL DE CONTROL'!$C$23,IF(Datos!O64="intermedio",'PANEL DE CONTROL'!$C$24,IF(Datos!O64="establecido",'PANEL DE CONTROL'!$C$25,'PANEL DE CONTROL'!$C$26))))</f>
        <v>0.6</v>
      </c>
      <c r="N64" s="30">
        <f>IF(Datos!J64&gt;=20,0.1,IF(Datos!J64&lt;5,-0.1,0))</f>
        <v>0.1</v>
      </c>
      <c r="O64" s="30">
        <f t="shared" si="3"/>
        <v>0.7</v>
      </c>
      <c r="P64" s="30">
        <f t="shared" si="4"/>
        <v>637.922</v>
      </c>
      <c r="Q64" s="30" t="str">
        <f>IF(P64&gt;='PANEL DE CONTROL'!$B$30,"A+",IF(P64&gt;='PANEL DE CONTROL'!$B$31,"A",IF(P64&gt;='PANEL DE CONTROL'!$B$32,"A-",IF(P64&gt;='PANEL DE CONTROL'!$B$33,"B+",IF(P64&gt;='PANEL DE CONTROL'!$B$34,"B",IF(P64&gt;='PANEL DE CONTROL'!$B$35,"B-",IF(P64&gt;='PANEL DE CONTROL'!$B$36,"C+",IF(P64&gt;='PANEL DE CONTROL'!$B$37,"C",IF(P64&gt;='PANEL DE CONTROL'!$B$38,"C-",IF(P64&gt;='PANEL DE CONTROL'!$B$39,"D+",IF(P64&gt;='PANEL DE CONTROL'!$B$40,"D","F")))))))))))</f>
        <v>C+</v>
      </c>
      <c r="R64" s="30" t="str">
        <f>Datos!I64</f>
        <v>B-</v>
      </c>
      <c r="S64" s="30">
        <f>P64-Datos!H64</f>
        <v>-20.978</v>
      </c>
      <c r="T64" s="30" t="str">
        <f t="shared" si="5"/>
        <v>Empeora</v>
      </c>
      <c r="U64" s="30" t="str">
        <f>Datos!O64</f>
        <v>establecido</v>
      </c>
      <c r="V64" s="30" t="str">
        <f>Datos!Q64</f>
        <v>bueno</v>
      </c>
    </row>
    <row r="65" ht="15.75" customHeight="1">
      <c r="A65" s="30">
        <f>Datos!A65</f>
        <v>62943528</v>
      </c>
      <c r="B65" s="30">
        <f>Datos!B65</f>
        <v>300</v>
      </c>
      <c r="C65" s="30">
        <f>Datos!C65</f>
        <v>100</v>
      </c>
      <c r="D65" s="30">
        <f>Datos!D65</f>
        <v>125</v>
      </c>
      <c r="E65" s="30">
        <f>(B65/600)*'PANEL DE CONTROL'!$C$7</f>
        <v>300</v>
      </c>
      <c r="F65" s="30">
        <f>(C65/150)*'PANEL DE CONTROL'!$C$8</f>
        <v>100</v>
      </c>
      <c r="G65" s="30">
        <f>(D65/250)*'PANEL DE CONTROL'!$C$9</f>
        <v>125</v>
      </c>
      <c r="H65" s="30">
        <f t="shared" si="1"/>
        <v>525</v>
      </c>
      <c r="I65" s="30">
        <f>IF(Datos!K65&gt;30,'PANEL DE CONTROL'!$D$14,0)+IF(Datos!M65&gt;80,'PANEL DE CONTROL'!$D$15,0)</f>
        <v>0</v>
      </c>
      <c r="J65" s="30">
        <f>IF(Datos!L65&lt;10,'PANEL DE CONTROL'!$D$16,0)+IF(Datos!N65&gt;24,'PANEL DE CONTROL'!$D$17,0)</f>
        <v>0</v>
      </c>
      <c r="K65" s="30">
        <f t="shared" si="2"/>
        <v>525</v>
      </c>
      <c r="L65" s="30">
        <f>Datos!G65</f>
        <v>839.68</v>
      </c>
      <c r="M65" s="30">
        <f>IF(Datos!O65="muy_nuevo",'PANEL DE CONTROL'!$C$22,IF(Datos!O65="nuevo",'PANEL DE CONTROL'!$C$23,IF(Datos!O65="intermedio",'PANEL DE CONTROL'!$C$24,IF(Datos!O65="establecido",'PANEL DE CONTROL'!$C$25,'PANEL DE CONTROL'!$C$26))))</f>
        <v>0.6</v>
      </c>
      <c r="N65" s="30">
        <f>IF(Datos!J65&gt;=20,0.1,IF(Datos!J65&lt;5,-0.1,0))</f>
        <v>0.1</v>
      </c>
      <c r="O65" s="30">
        <f t="shared" si="3"/>
        <v>0.7</v>
      </c>
      <c r="P65" s="30">
        <f t="shared" si="4"/>
        <v>619.404</v>
      </c>
      <c r="Q65" s="30" t="str">
        <f>IF(P65&gt;='PANEL DE CONTROL'!$B$30,"A+",IF(P65&gt;='PANEL DE CONTROL'!$B$31,"A",IF(P65&gt;='PANEL DE CONTROL'!$B$32,"A-",IF(P65&gt;='PANEL DE CONTROL'!$B$33,"B+",IF(P65&gt;='PANEL DE CONTROL'!$B$34,"B",IF(P65&gt;='PANEL DE CONTROL'!$B$35,"B-",IF(P65&gt;='PANEL DE CONTROL'!$B$36,"C+",IF(P65&gt;='PANEL DE CONTROL'!$B$37,"C",IF(P65&gt;='PANEL DE CONTROL'!$B$38,"C-",IF(P65&gt;='PANEL DE CONTROL'!$B$39,"D+",IF(P65&gt;='PANEL DE CONTROL'!$B$40,"D","F")))))))))))</f>
        <v>C+</v>
      </c>
      <c r="R65" s="30" t="str">
        <f>Datos!I65</f>
        <v>B-</v>
      </c>
      <c r="S65" s="30">
        <f>P65-Datos!H65</f>
        <v>-31.466</v>
      </c>
      <c r="T65" s="30" t="str">
        <f t="shared" si="5"/>
        <v>Empeora</v>
      </c>
      <c r="U65" s="30" t="str">
        <f>Datos!O65</f>
        <v>establecido</v>
      </c>
      <c r="V65" s="30" t="str">
        <f>Datos!Q65</f>
        <v>bueno</v>
      </c>
    </row>
    <row r="66" ht="15.75" customHeight="1">
      <c r="A66" s="30">
        <f>Datos!A66</f>
        <v>68716927</v>
      </c>
      <c r="B66" s="30">
        <f>Datos!B66</f>
        <v>530</v>
      </c>
      <c r="C66" s="30">
        <f>Datos!C66</f>
        <v>150</v>
      </c>
      <c r="D66" s="30">
        <f>Datos!D66</f>
        <v>125</v>
      </c>
      <c r="E66" s="30">
        <f>(B66/600)*'PANEL DE CONTROL'!$C$7</f>
        <v>530</v>
      </c>
      <c r="F66" s="30">
        <f>(C66/150)*'PANEL DE CONTROL'!$C$8</f>
        <v>150</v>
      </c>
      <c r="G66" s="30">
        <f>(D66/250)*'PANEL DE CONTROL'!$C$9</f>
        <v>125</v>
      </c>
      <c r="H66" s="30">
        <f t="shared" si="1"/>
        <v>805</v>
      </c>
      <c r="I66" s="30">
        <f>IF(Datos!K66&gt;30,'PANEL DE CONTROL'!$D$14,0)+IF(Datos!M66&gt;80,'PANEL DE CONTROL'!$D$15,0)</f>
        <v>0</v>
      </c>
      <c r="J66" s="30">
        <f>IF(Datos!L66&lt;10,'PANEL DE CONTROL'!$D$16,0)+IF(Datos!N66&gt;24,'PANEL DE CONTROL'!$D$17,0)</f>
        <v>0</v>
      </c>
      <c r="K66" s="30">
        <f t="shared" si="2"/>
        <v>805</v>
      </c>
      <c r="L66" s="30">
        <f>Datos!G66</f>
        <v>758.87</v>
      </c>
      <c r="M66" s="30">
        <f>IF(Datos!O66="muy_nuevo",'PANEL DE CONTROL'!$C$22,IF(Datos!O66="nuevo",'PANEL DE CONTROL'!$C$23,IF(Datos!O66="intermedio",'PANEL DE CONTROL'!$C$24,IF(Datos!O66="establecido",'PANEL DE CONTROL'!$C$25,'PANEL DE CONTROL'!$C$26))))</f>
        <v>0.6</v>
      </c>
      <c r="N66" s="30">
        <f>IF(Datos!J66&gt;=20,0.1,IF(Datos!J66&lt;5,-0.1,0))</f>
        <v>0.1</v>
      </c>
      <c r="O66" s="30">
        <f t="shared" si="3"/>
        <v>0.7</v>
      </c>
      <c r="P66" s="30">
        <f t="shared" si="4"/>
        <v>791.161</v>
      </c>
      <c r="Q66" s="30" t="str">
        <f>IF(P66&gt;='PANEL DE CONTROL'!$B$30,"A+",IF(P66&gt;='PANEL DE CONTROL'!$B$31,"A",IF(P66&gt;='PANEL DE CONTROL'!$B$32,"A-",IF(P66&gt;='PANEL DE CONTROL'!$B$33,"B+",IF(P66&gt;='PANEL DE CONTROL'!$B$34,"B",IF(P66&gt;='PANEL DE CONTROL'!$B$35,"B-",IF(P66&gt;='PANEL DE CONTROL'!$B$36,"C+",IF(P66&gt;='PANEL DE CONTROL'!$B$37,"C",IF(P66&gt;='PANEL DE CONTROL'!$B$38,"C-",IF(P66&gt;='PANEL DE CONTROL'!$B$39,"D+",IF(P66&gt;='PANEL DE CONTROL'!$B$40,"D","F")))))))))))</f>
        <v>B+</v>
      </c>
      <c r="R66" s="30" t="str">
        <f>Datos!I66</f>
        <v>B+</v>
      </c>
      <c r="S66" s="30">
        <f>P66-Datos!H66</f>
        <v>4.611</v>
      </c>
      <c r="T66" s="30" t="str">
        <f t="shared" si="5"/>
        <v>Igual</v>
      </c>
      <c r="U66" s="30" t="str">
        <f>Datos!O66</f>
        <v>establecido</v>
      </c>
      <c r="V66" s="30" t="str">
        <f>Datos!Q66</f>
        <v>bueno</v>
      </c>
    </row>
    <row r="67" ht="15.75" customHeight="1">
      <c r="A67" s="30">
        <f>Datos!A67</f>
        <v>55029291</v>
      </c>
      <c r="B67" s="30">
        <f>Datos!B67</f>
        <v>450</v>
      </c>
      <c r="C67" s="30">
        <f>Datos!C67</f>
        <v>150</v>
      </c>
      <c r="D67" s="30">
        <f>Datos!D67</f>
        <v>125</v>
      </c>
      <c r="E67" s="30">
        <f>(B67/600)*'PANEL DE CONTROL'!$C$7</f>
        <v>450</v>
      </c>
      <c r="F67" s="30">
        <f>(C67/150)*'PANEL DE CONTROL'!$C$8</f>
        <v>150</v>
      </c>
      <c r="G67" s="30">
        <f>(D67/250)*'PANEL DE CONTROL'!$C$9</f>
        <v>125</v>
      </c>
      <c r="H67" s="30">
        <f t="shared" si="1"/>
        <v>725</v>
      </c>
      <c r="I67" s="30">
        <f>IF(Datos!K67&gt;30,'PANEL DE CONTROL'!$D$14,0)+IF(Datos!M67&gt;80,'PANEL DE CONTROL'!$D$15,0)</f>
        <v>0</v>
      </c>
      <c r="J67" s="30">
        <f>IF(Datos!L67&lt;10,'PANEL DE CONTROL'!$D$16,0)+IF(Datos!N67&gt;24,'PANEL DE CONTROL'!$D$17,0)</f>
        <v>0</v>
      </c>
      <c r="K67" s="30">
        <f t="shared" si="2"/>
        <v>725</v>
      </c>
      <c r="L67" s="30">
        <f>Datos!G67</f>
        <v>812.79</v>
      </c>
      <c r="M67" s="30">
        <f>IF(Datos!O67="muy_nuevo",'PANEL DE CONTROL'!$C$22,IF(Datos!O67="nuevo",'PANEL DE CONTROL'!$C$23,IF(Datos!O67="intermedio",'PANEL DE CONTROL'!$C$24,IF(Datos!O67="establecido",'PANEL DE CONTROL'!$C$25,'PANEL DE CONTROL'!$C$26))))</f>
        <v>0.6</v>
      </c>
      <c r="N67" s="30">
        <f>IF(Datos!J67&gt;=20,0.1,IF(Datos!J67&lt;5,-0.1,0))</f>
        <v>0.1</v>
      </c>
      <c r="O67" s="30">
        <f t="shared" si="3"/>
        <v>0.7</v>
      </c>
      <c r="P67" s="30">
        <f t="shared" si="4"/>
        <v>751.337</v>
      </c>
      <c r="Q67" s="30" t="str">
        <f>IF(P67&gt;='PANEL DE CONTROL'!$B$30,"A+",IF(P67&gt;='PANEL DE CONTROL'!$B$31,"A",IF(P67&gt;='PANEL DE CONTROL'!$B$32,"A-",IF(P67&gt;='PANEL DE CONTROL'!$B$33,"B+",IF(P67&gt;='PANEL DE CONTROL'!$B$34,"B",IF(P67&gt;='PANEL DE CONTROL'!$B$35,"B-",IF(P67&gt;='PANEL DE CONTROL'!$B$36,"C+",IF(P67&gt;='PANEL DE CONTROL'!$B$37,"C",IF(P67&gt;='PANEL DE CONTROL'!$B$38,"C-",IF(P67&gt;='PANEL DE CONTROL'!$B$39,"D+",IF(P67&gt;='PANEL DE CONTROL'!$B$40,"D","F")))))))))))</f>
        <v>B+</v>
      </c>
      <c r="R67" s="30" t="str">
        <f>Datos!I67</f>
        <v>B+</v>
      </c>
      <c r="S67" s="30">
        <f>P67-Datos!H67</f>
        <v>-8.783</v>
      </c>
      <c r="T67" s="30" t="str">
        <f t="shared" si="5"/>
        <v>Empeora</v>
      </c>
      <c r="U67" s="30" t="str">
        <f>Datos!O67</f>
        <v>establecido</v>
      </c>
      <c r="V67" s="30" t="str">
        <f>Datos!Q67</f>
        <v>bueno</v>
      </c>
    </row>
    <row r="68" ht="15.75" customHeight="1">
      <c r="A68" s="30">
        <f>Datos!A68</f>
        <v>92333217</v>
      </c>
      <c r="B68" s="30">
        <f>Datos!B68</f>
        <v>300</v>
      </c>
      <c r="C68" s="30">
        <f>Datos!C68</f>
        <v>150</v>
      </c>
      <c r="D68" s="30">
        <f>Datos!D68</f>
        <v>125</v>
      </c>
      <c r="E68" s="30">
        <f>(B68/600)*'PANEL DE CONTROL'!$C$7</f>
        <v>300</v>
      </c>
      <c r="F68" s="30">
        <f>(C68/150)*'PANEL DE CONTROL'!$C$8</f>
        <v>150</v>
      </c>
      <c r="G68" s="30">
        <f>(D68/250)*'PANEL DE CONTROL'!$C$9</f>
        <v>125</v>
      </c>
      <c r="H68" s="30">
        <f t="shared" si="1"/>
        <v>575</v>
      </c>
      <c r="I68" s="30">
        <f>IF(Datos!K68&gt;30,'PANEL DE CONTROL'!$D$14,0)+IF(Datos!M68&gt;80,'PANEL DE CONTROL'!$D$15,0)</f>
        <v>0</v>
      </c>
      <c r="J68" s="30">
        <f>IF(Datos!L68&lt;10,'PANEL DE CONTROL'!$D$16,0)+IF(Datos!N68&gt;24,'PANEL DE CONTROL'!$D$17,0)</f>
        <v>0</v>
      </c>
      <c r="K68" s="30">
        <f t="shared" si="2"/>
        <v>575</v>
      </c>
      <c r="L68" s="30">
        <f>Datos!G68</f>
        <v>803.66</v>
      </c>
      <c r="M68" s="30">
        <f>IF(Datos!O68="muy_nuevo",'PANEL DE CONTROL'!$C$22,IF(Datos!O68="nuevo",'PANEL DE CONTROL'!$C$23,IF(Datos!O68="intermedio",'PANEL DE CONTROL'!$C$24,IF(Datos!O68="establecido",'PANEL DE CONTROL'!$C$25,'PANEL DE CONTROL'!$C$26))))</f>
        <v>0.5</v>
      </c>
      <c r="N68" s="30">
        <f>IF(Datos!J68&gt;=20,0.1,IF(Datos!J68&lt;5,-0.1,0))</f>
        <v>0</v>
      </c>
      <c r="O68" s="30">
        <f t="shared" si="3"/>
        <v>0.5</v>
      </c>
      <c r="P68" s="30">
        <f t="shared" si="4"/>
        <v>689.33</v>
      </c>
      <c r="Q68" s="30" t="str">
        <f>IF(P68&gt;='PANEL DE CONTROL'!$B$30,"A+",IF(P68&gt;='PANEL DE CONTROL'!$B$31,"A",IF(P68&gt;='PANEL DE CONTROL'!$B$32,"A-",IF(P68&gt;='PANEL DE CONTROL'!$B$33,"B+",IF(P68&gt;='PANEL DE CONTROL'!$B$34,"B",IF(P68&gt;='PANEL DE CONTROL'!$B$35,"B-",IF(P68&gt;='PANEL DE CONTROL'!$B$36,"C+",IF(P68&gt;='PANEL DE CONTROL'!$B$37,"C",IF(P68&gt;='PANEL DE CONTROL'!$B$38,"C-",IF(P68&gt;='PANEL DE CONTROL'!$B$39,"D+",IF(P68&gt;='PANEL DE CONTROL'!$B$40,"D","F")))))))))))</f>
        <v>B-</v>
      </c>
      <c r="R68" s="30" t="str">
        <f>Datos!I68</f>
        <v>B-</v>
      </c>
      <c r="S68" s="30">
        <f>P68-Datos!H68</f>
        <v>0</v>
      </c>
      <c r="T68" s="30" t="str">
        <f t="shared" si="5"/>
        <v>Igual</v>
      </c>
      <c r="U68" s="30" t="str">
        <f>Datos!O68</f>
        <v>intermedio</v>
      </c>
      <c r="V68" s="30" t="str">
        <f>Datos!Q68</f>
        <v>bueno</v>
      </c>
    </row>
    <row r="69" ht="15.75" customHeight="1">
      <c r="A69" s="30">
        <f>Datos!A69</f>
        <v>67939816</v>
      </c>
      <c r="B69" s="30">
        <f>Datos!B69</f>
        <v>450</v>
      </c>
      <c r="C69" s="30">
        <f>Datos!C69</f>
        <v>150</v>
      </c>
      <c r="D69" s="30">
        <f>Datos!D69</f>
        <v>125</v>
      </c>
      <c r="E69" s="30">
        <f>(B69/600)*'PANEL DE CONTROL'!$C$7</f>
        <v>450</v>
      </c>
      <c r="F69" s="30">
        <f>(C69/150)*'PANEL DE CONTROL'!$C$8</f>
        <v>150</v>
      </c>
      <c r="G69" s="30">
        <f>(D69/250)*'PANEL DE CONTROL'!$C$9</f>
        <v>125</v>
      </c>
      <c r="H69" s="30">
        <f t="shared" si="1"/>
        <v>725</v>
      </c>
      <c r="I69" s="30">
        <f>IF(Datos!K69&gt;30,'PANEL DE CONTROL'!$D$14,0)+IF(Datos!M69&gt;80,'PANEL DE CONTROL'!$D$15,0)</f>
        <v>0</v>
      </c>
      <c r="J69" s="30">
        <f>IF(Datos!L69&lt;10,'PANEL DE CONTROL'!$D$16,0)+IF(Datos!N69&gt;24,'PANEL DE CONTROL'!$D$17,0)</f>
        <v>0</v>
      </c>
      <c r="K69" s="30">
        <f t="shared" si="2"/>
        <v>725</v>
      </c>
      <c r="L69" s="30">
        <f>Datos!G69</f>
        <v>818.72</v>
      </c>
      <c r="M69" s="30">
        <f>IF(Datos!O69="muy_nuevo",'PANEL DE CONTROL'!$C$22,IF(Datos!O69="nuevo",'PANEL DE CONTROL'!$C$23,IF(Datos!O69="intermedio",'PANEL DE CONTROL'!$C$24,IF(Datos!O69="establecido",'PANEL DE CONTROL'!$C$25,'PANEL DE CONTROL'!$C$26))))</f>
        <v>0.5</v>
      </c>
      <c r="N69" s="30">
        <f>IF(Datos!J69&gt;=20,0.1,IF(Datos!J69&lt;5,-0.1,0))</f>
        <v>0.1</v>
      </c>
      <c r="O69" s="30">
        <f t="shared" si="3"/>
        <v>0.6</v>
      </c>
      <c r="P69" s="30">
        <f t="shared" si="4"/>
        <v>762.488</v>
      </c>
      <c r="Q69" s="30" t="str">
        <f>IF(P69&gt;='PANEL DE CONTROL'!$B$30,"A+",IF(P69&gt;='PANEL DE CONTROL'!$B$31,"A",IF(P69&gt;='PANEL DE CONTROL'!$B$32,"A-",IF(P69&gt;='PANEL DE CONTROL'!$B$33,"B+",IF(P69&gt;='PANEL DE CONTROL'!$B$34,"B",IF(P69&gt;='PANEL DE CONTROL'!$B$35,"B-",IF(P69&gt;='PANEL DE CONTROL'!$B$36,"C+",IF(P69&gt;='PANEL DE CONTROL'!$B$37,"C",IF(P69&gt;='PANEL DE CONTROL'!$B$38,"C-",IF(P69&gt;='PANEL DE CONTROL'!$B$39,"D+",IF(P69&gt;='PANEL DE CONTROL'!$B$40,"D","F")))))))))))</f>
        <v>B+</v>
      </c>
      <c r="R69" s="30" t="str">
        <f>Datos!I69</f>
        <v>B+</v>
      </c>
      <c r="S69" s="30">
        <f>P69-Datos!H69</f>
        <v>-9.372</v>
      </c>
      <c r="T69" s="30" t="str">
        <f t="shared" si="5"/>
        <v>Empeora</v>
      </c>
      <c r="U69" s="30" t="str">
        <f>Datos!O69</f>
        <v>intermedio</v>
      </c>
      <c r="V69" s="30" t="str">
        <f>Datos!Q69</f>
        <v>bueno</v>
      </c>
    </row>
    <row r="70" ht="15.75" customHeight="1">
      <c r="A70" s="30">
        <f>Datos!A70</f>
        <v>73408037</v>
      </c>
      <c r="B70" s="30">
        <f>Datos!B70</f>
        <v>450</v>
      </c>
      <c r="C70" s="30">
        <f>Datos!C70</f>
        <v>100</v>
      </c>
      <c r="D70" s="30">
        <f>Datos!D70</f>
        <v>125</v>
      </c>
      <c r="E70" s="30">
        <f>(B70/600)*'PANEL DE CONTROL'!$C$7</f>
        <v>450</v>
      </c>
      <c r="F70" s="30">
        <f>(C70/150)*'PANEL DE CONTROL'!$C$8</f>
        <v>100</v>
      </c>
      <c r="G70" s="30">
        <f>(D70/250)*'PANEL DE CONTROL'!$C$9</f>
        <v>125</v>
      </c>
      <c r="H70" s="30">
        <f t="shared" si="1"/>
        <v>675</v>
      </c>
      <c r="I70" s="30">
        <f>IF(Datos!K70&gt;30,'PANEL DE CONTROL'!$D$14,0)+IF(Datos!M70&gt;80,'PANEL DE CONTROL'!$D$15,0)</f>
        <v>0</v>
      </c>
      <c r="J70" s="30">
        <f>IF(Datos!L70&lt;10,'PANEL DE CONTROL'!$D$16,0)+IF(Datos!N70&gt;24,'PANEL DE CONTROL'!$D$17,0)</f>
        <v>0</v>
      </c>
      <c r="K70" s="30">
        <f t="shared" si="2"/>
        <v>675</v>
      </c>
      <c r="L70" s="30">
        <f>Datos!G70</f>
        <v>768.23</v>
      </c>
      <c r="M70" s="30">
        <f>IF(Datos!O70="muy_nuevo",'PANEL DE CONTROL'!$C$22,IF(Datos!O70="nuevo",'PANEL DE CONTROL'!$C$23,IF(Datos!O70="intermedio",'PANEL DE CONTROL'!$C$24,IF(Datos!O70="establecido",'PANEL DE CONTROL'!$C$25,'PANEL DE CONTROL'!$C$26))))</f>
        <v>0.5</v>
      </c>
      <c r="N70" s="30">
        <f>IF(Datos!J70&gt;=20,0.1,IF(Datos!J70&lt;5,-0.1,0))</f>
        <v>0.1</v>
      </c>
      <c r="O70" s="30">
        <f t="shared" si="3"/>
        <v>0.6</v>
      </c>
      <c r="P70" s="30">
        <f t="shared" si="4"/>
        <v>712.292</v>
      </c>
      <c r="Q70" s="30" t="str">
        <f>IF(P70&gt;='PANEL DE CONTROL'!$B$30,"A+",IF(P70&gt;='PANEL DE CONTROL'!$B$31,"A",IF(P70&gt;='PANEL DE CONTROL'!$B$32,"A-",IF(P70&gt;='PANEL DE CONTROL'!$B$33,"B+",IF(P70&gt;='PANEL DE CONTROL'!$B$34,"B",IF(P70&gt;='PANEL DE CONTROL'!$B$35,"B-",IF(P70&gt;='PANEL DE CONTROL'!$B$36,"C+",IF(P70&gt;='PANEL DE CONTROL'!$B$37,"C",IF(P70&gt;='PANEL DE CONTROL'!$B$38,"C-",IF(P70&gt;='PANEL DE CONTROL'!$B$39,"D+",IF(P70&gt;='PANEL DE CONTROL'!$B$40,"D","F")))))))))))</f>
        <v>B</v>
      </c>
      <c r="R70" s="30" t="str">
        <f>Datos!I70</f>
        <v>B</v>
      </c>
      <c r="S70" s="30">
        <f>P70-Datos!H70</f>
        <v>-9.318</v>
      </c>
      <c r="T70" s="30" t="str">
        <f t="shared" si="5"/>
        <v>Empeora</v>
      </c>
      <c r="U70" s="30" t="str">
        <f>Datos!O70</f>
        <v>intermedio</v>
      </c>
      <c r="V70" s="30" t="str">
        <f>Datos!Q70</f>
        <v>bueno</v>
      </c>
    </row>
    <row r="71" ht="15.75" customHeight="1">
      <c r="A71" s="30">
        <f>Datos!A71</f>
        <v>49679107</v>
      </c>
      <c r="B71" s="30">
        <f>Datos!B71</f>
        <v>300</v>
      </c>
      <c r="C71" s="30">
        <f>Datos!C71</f>
        <v>150</v>
      </c>
      <c r="D71" s="30">
        <f>Datos!D71</f>
        <v>125</v>
      </c>
      <c r="E71" s="30">
        <f>(B71/600)*'PANEL DE CONTROL'!$C$7</f>
        <v>300</v>
      </c>
      <c r="F71" s="30">
        <f>(C71/150)*'PANEL DE CONTROL'!$C$8</f>
        <v>150</v>
      </c>
      <c r="G71" s="30">
        <f>(D71/250)*'PANEL DE CONTROL'!$C$9</f>
        <v>125</v>
      </c>
      <c r="H71" s="30">
        <f t="shared" si="1"/>
        <v>575</v>
      </c>
      <c r="I71" s="30">
        <f>IF(Datos!K71&gt;30,'PANEL DE CONTROL'!$D$14,0)+IF(Datos!M71&gt;80,'PANEL DE CONTROL'!$D$15,0)</f>
        <v>0</v>
      </c>
      <c r="J71" s="30">
        <f>IF(Datos!L71&lt;10,'PANEL DE CONTROL'!$D$16,0)+IF(Datos!N71&gt;24,'PANEL DE CONTROL'!$D$17,0)</f>
        <v>0</v>
      </c>
      <c r="K71" s="30">
        <f t="shared" si="2"/>
        <v>575</v>
      </c>
      <c r="L71" s="30">
        <f>Datos!G71</f>
        <v>814.88</v>
      </c>
      <c r="M71" s="30">
        <f>IF(Datos!O71="muy_nuevo",'PANEL DE CONTROL'!$C$22,IF(Datos!O71="nuevo",'PANEL DE CONTROL'!$C$23,IF(Datos!O71="intermedio",'PANEL DE CONTROL'!$C$24,IF(Datos!O71="establecido",'PANEL DE CONTROL'!$C$25,'PANEL DE CONTROL'!$C$26))))</f>
        <v>0.6</v>
      </c>
      <c r="N71" s="30">
        <f>IF(Datos!J71&gt;=20,0.1,IF(Datos!J71&lt;5,-0.1,0))</f>
        <v>0.1</v>
      </c>
      <c r="O71" s="30">
        <f t="shared" si="3"/>
        <v>0.7</v>
      </c>
      <c r="P71" s="30">
        <f t="shared" si="4"/>
        <v>646.964</v>
      </c>
      <c r="Q71" s="30" t="str">
        <f>IF(P71&gt;='PANEL DE CONTROL'!$B$30,"A+",IF(P71&gt;='PANEL DE CONTROL'!$B$31,"A",IF(P71&gt;='PANEL DE CONTROL'!$B$32,"A-",IF(P71&gt;='PANEL DE CONTROL'!$B$33,"B+",IF(P71&gt;='PANEL DE CONTROL'!$B$34,"B",IF(P71&gt;='PANEL DE CONTROL'!$B$35,"B-",IF(P71&gt;='PANEL DE CONTROL'!$B$36,"C+",IF(P71&gt;='PANEL DE CONTROL'!$B$37,"C",IF(P71&gt;='PANEL DE CONTROL'!$B$38,"C-",IF(P71&gt;='PANEL DE CONTROL'!$B$39,"D+",IF(P71&gt;='PANEL DE CONTROL'!$B$40,"D","F")))))))))))</f>
        <v>C+</v>
      </c>
      <c r="R71" s="30" t="str">
        <f>Datos!I71</f>
        <v>B-</v>
      </c>
      <c r="S71" s="30">
        <f>P71-Datos!H71</f>
        <v>-23.986</v>
      </c>
      <c r="T71" s="30" t="str">
        <f t="shared" si="5"/>
        <v>Empeora</v>
      </c>
      <c r="U71" s="30" t="str">
        <f>Datos!O71</f>
        <v>establecido</v>
      </c>
      <c r="V71" s="30" t="str">
        <f>Datos!Q71</f>
        <v>bueno</v>
      </c>
    </row>
    <row r="72" ht="15.75" customHeight="1">
      <c r="A72" s="30">
        <f>Datos!A72</f>
        <v>84707244</v>
      </c>
      <c r="B72" s="30">
        <f>Datos!B72</f>
        <v>450</v>
      </c>
      <c r="C72" s="30">
        <f>Datos!C72</f>
        <v>150</v>
      </c>
      <c r="D72" s="30">
        <f>Datos!D72</f>
        <v>200</v>
      </c>
      <c r="E72" s="30">
        <f>(B72/600)*'PANEL DE CONTROL'!$C$7</f>
        <v>450</v>
      </c>
      <c r="F72" s="30">
        <f>(C72/150)*'PANEL DE CONTROL'!$C$8</f>
        <v>150</v>
      </c>
      <c r="G72" s="30">
        <f>(D72/250)*'PANEL DE CONTROL'!$C$9</f>
        <v>200</v>
      </c>
      <c r="H72" s="30">
        <f t="shared" si="1"/>
        <v>800</v>
      </c>
      <c r="I72" s="30">
        <f>IF(Datos!K72&gt;30,'PANEL DE CONTROL'!$D$14,0)+IF(Datos!M72&gt;80,'PANEL DE CONTROL'!$D$15,0)</f>
        <v>0</v>
      </c>
      <c r="J72" s="30">
        <f>IF(Datos!L72&lt;10,'PANEL DE CONTROL'!$D$16,0)+IF(Datos!N72&gt;24,'PANEL DE CONTROL'!$D$17,0)</f>
        <v>0</v>
      </c>
      <c r="K72" s="30">
        <f t="shared" si="2"/>
        <v>800</v>
      </c>
      <c r="L72" s="30">
        <f>Datos!G72</f>
        <v>839.96</v>
      </c>
      <c r="M72" s="30">
        <f>IF(Datos!O72="muy_nuevo",'PANEL DE CONTROL'!$C$22,IF(Datos!O72="nuevo",'PANEL DE CONTROL'!$C$23,IF(Datos!O72="intermedio",'PANEL DE CONTROL'!$C$24,IF(Datos!O72="establecido",'PANEL DE CONTROL'!$C$25,'PANEL DE CONTROL'!$C$26))))</f>
        <v>0.5</v>
      </c>
      <c r="N72" s="30">
        <f>IF(Datos!J72&gt;=20,0.1,IF(Datos!J72&lt;5,-0.1,0))</f>
        <v>0.1</v>
      </c>
      <c r="O72" s="30">
        <f t="shared" si="3"/>
        <v>0.6</v>
      </c>
      <c r="P72" s="30">
        <f t="shared" si="4"/>
        <v>815.984</v>
      </c>
      <c r="Q72" s="30" t="str">
        <f>IF(P72&gt;='PANEL DE CONTROL'!$B$30,"A+",IF(P72&gt;='PANEL DE CONTROL'!$B$31,"A",IF(P72&gt;='PANEL DE CONTROL'!$B$32,"A-",IF(P72&gt;='PANEL DE CONTROL'!$B$33,"B+",IF(P72&gt;='PANEL DE CONTROL'!$B$34,"B",IF(P72&gt;='PANEL DE CONTROL'!$B$35,"B-",IF(P72&gt;='PANEL DE CONTROL'!$B$36,"C+",IF(P72&gt;='PANEL DE CONTROL'!$B$37,"C",IF(P72&gt;='PANEL DE CONTROL'!$B$38,"C-",IF(P72&gt;='PANEL DE CONTROL'!$B$39,"D+",IF(P72&gt;='PANEL DE CONTROL'!$B$40,"D","F")))))))))))</f>
        <v>A-</v>
      </c>
      <c r="R72" s="30" t="str">
        <f>Datos!I72</f>
        <v>A-</v>
      </c>
      <c r="S72" s="30">
        <f>P72-Datos!H72</f>
        <v>-3.996</v>
      </c>
      <c r="T72" s="30" t="str">
        <f t="shared" si="5"/>
        <v>Igual</v>
      </c>
      <c r="U72" s="30" t="str">
        <f>Datos!O72</f>
        <v>intermedio</v>
      </c>
      <c r="V72" s="30" t="str">
        <f>Datos!Q72</f>
        <v>bueno</v>
      </c>
    </row>
    <row r="73" ht="15.75" customHeight="1">
      <c r="A73" s="30">
        <f>Datos!A73</f>
        <v>23584921</v>
      </c>
      <c r="B73" s="30">
        <f>Datos!B73</f>
        <v>450</v>
      </c>
      <c r="C73" s="30">
        <f>Datos!C73</f>
        <v>150</v>
      </c>
      <c r="D73" s="30">
        <f>Datos!D73</f>
        <v>125</v>
      </c>
      <c r="E73" s="30">
        <f>(B73/600)*'PANEL DE CONTROL'!$C$7</f>
        <v>450</v>
      </c>
      <c r="F73" s="30">
        <f>(C73/150)*'PANEL DE CONTROL'!$C$8</f>
        <v>150</v>
      </c>
      <c r="G73" s="30">
        <f>(D73/250)*'PANEL DE CONTROL'!$C$9</f>
        <v>125</v>
      </c>
      <c r="H73" s="30">
        <f t="shared" si="1"/>
        <v>725</v>
      </c>
      <c r="I73" s="30">
        <f>IF(Datos!K73&gt;30,'PANEL DE CONTROL'!$D$14,0)+IF(Datos!M73&gt;80,'PANEL DE CONTROL'!$D$15,0)</f>
        <v>0</v>
      </c>
      <c r="J73" s="30">
        <f>IF(Datos!L73&lt;10,'PANEL DE CONTROL'!$D$16,0)+IF(Datos!N73&gt;24,'PANEL DE CONTROL'!$D$17,0)</f>
        <v>0</v>
      </c>
      <c r="K73" s="30">
        <f t="shared" si="2"/>
        <v>725</v>
      </c>
      <c r="L73" s="30">
        <f>Datos!G73</f>
        <v>768.66</v>
      </c>
      <c r="M73" s="30">
        <f>IF(Datos!O73="muy_nuevo",'PANEL DE CONTROL'!$C$22,IF(Datos!O73="nuevo",'PANEL DE CONTROL'!$C$23,IF(Datos!O73="intermedio",'PANEL DE CONTROL'!$C$24,IF(Datos!O73="establecido",'PANEL DE CONTROL'!$C$25,'PANEL DE CONTROL'!$C$26))))</f>
        <v>0.6</v>
      </c>
      <c r="N73" s="30">
        <f>IF(Datos!J73&gt;=20,0.1,IF(Datos!J73&lt;5,-0.1,0))</f>
        <v>0.1</v>
      </c>
      <c r="O73" s="30">
        <f t="shared" si="3"/>
        <v>0.7</v>
      </c>
      <c r="P73" s="30">
        <f t="shared" si="4"/>
        <v>738.098</v>
      </c>
      <c r="Q73" s="30" t="str">
        <f>IF(P73&gt;='PANEL DE CONTROL'!$B$30,"A+",IF(P73&gt;='PANEL DE CONTROL'!$B$31,"A",IF(P73&gt;='PANEL DE CONTROL'!$B$32,"A-",IF(P73&gt;='PANEL DE CONTROL'!$B$33,"B+",IF(P73&gt;='PANEL DE CONTROL'!$B$34,"B",IF(P73&gt;='PANEL DE CONTROL'!$B$35,"B-",IF(P73&gt;='PANEL DE CONTROL'!$B$36,"C+",IF(P73&gt;='PANEL DE CONTROL'!$B$37,"C",IF(P73&gt;='PANEL DE CONTROL'!$B$38,"C-",IF(P73&gt;='PANEL DE CONTROL'!$B$39,"D+",IF(P73&gt;='PANEL DE CONTROL'!$B$40,"D","F")))))))))))</f>
        <v>B</v>
      </c>
      <c r="R73" s="30" t="str">
        <f>Datos!I73</f>
        <v>B</v>
      </c>
      <c r="S73" s="30">
        <f>P73-Datos!H73</f>
        <v>-4.362</v>
      </c>
      <c r="T73" s="30" t="str">
        <f t="shared" si="5"/>
        <v>Igual</v>
      </c>
      <c r="U73" s="30" t="str">
        <f>Datos!O73</f>
        <v>establecido</v>
      </c>
      <c r="V73" s="30" t="str">
        <f>Datos!Q73</f>
        <v>bueno</v>
      </c>
    </row>
    <row r="74" ht="15.75" customHeight="1">
      <c r="A74" s="30">
        <f>Datos!A74</f>
        <v>58277689</v>
      </c>
      <c r="B74" s="30">
        <f>Datos!B74</f>
        <v>300</v>
      </c>
      <c r="C74" s="30">
        <f>Datos!C74</f>
        <v>150</v>
      </c>
      <c r="D74" s="30">
        <f>Datos!D74</f>
        <v>125</v>
      </c>
      <c r="E74" s="30">
        <f>(B74/600)*'PANEL DE CONTROL'!$C$7</f>
        <v>300</v>
      </c>
      <c r="F74" s="30">
        <f>(C74/150)*'PANEL DE CONTROL'!$C$8</f>
        <v>150</v>
      </c>
      <c r="G74" s="30">
        <f>(D74/250)*'PANEL DE CONTROL'!$C$9</f>
        <v>125</v>
      </c>
      <c r="H74" s="30">
        <f t="shared" si="1"/>
        <v>575</v>
      </c>
      <c r="I74" s="30">
        <f>IF(Datos!K74&gt;30,'PANEL DE CONTROL'!$D$14,0)+IF(Datos!M74&gt;80,'PANEL DE CONTROL'!$D$15,0)</f>
        <v>0</v>
      </c>
      <c r="J74" s="30">
        <f>IF(Datos!L74&lt;10,'PANEL DE CONTROL'!$D$16,0)+IF(Datos!N74&gt;24,'PANEL DE CONTROL'!$D$17,0)</f>
        <v>0</v>
      </c>
      <c r="K74" s="30">
        <f t="shared" si="2"/>
        <v>575</v>
      </c>
      <c r="L74" s="30">
        <f>Datos!G74</f>
        <v>789.79</v>
      </c>
      <c r="M74" s="30">
        <f>IF(Datos!O74="muy_nuevo",'PANEL DE CONTROL'!$C$22,IF(Datos!O74="nuevo",'PANEL DE CONTROL'!$C$23,IF(Datos!O74="intermedio",'PANEL DE CONTROL'!$C$24,IF(Datos!O74="establecido",'PANEL DE CONTROL'!$C$25,'PANEL DE CONTROL'!$C$26))))</f>
        <v>0.5</v>
      </c>
      <c r="N74" s="30">
        <f>IF(Datos!J74&gt;=20,0.1,IF(Datos!J74&lt;5,-0.1,0))</f>
        <v>0</v>
      </c>
      <c r="O74" s="30">
        <f t="shared" si="3"/>
        <v>0.5</v>
      </c>
      <c r="P74" s="30">
        <f t="shared" si="4"/>
        <v>682.395</v>
      </c>
      <c r="Q74" s="30" t="str">
        <f>IF(P74&gt;='PANEL DE CONTROL'!$B$30,"A+",IF(P74&gt;='PANEL DE CONTROL'!$B$31,"A",IF(P74&gt;='PANEL DE CONTROL'!$B$32,"A-",IF(P74&gt;='PANEL DE CONTROL'!$B$33,"B+",IF(P74&gt;='PANEL DE CONTROL'!$B$34,"B",IF(P74&gt;='PANEL DE CONTROL'!$B$35,"B-",IF(P74&gt;='PANEL DE CONTROL'!$B$36,"C+",IF(P74&gt;='PANEL DE CONTROL'!$B$37,"C",IF(P74&gt;='PANEL DE CONTROL'!$B$38,"C-",IF(P74&gt;='PANEL DE CONTROL'!$B$39,"D+",IF(P74&gt;='PANEL DE CONTROL'!$B$40,"D","F")))))))))))</f>
        <v>B-</v>
      </c>
      <c r="R74" s="30" t="str">
        <f>Datos!I74</f>
        <v>B-</v>
      </c>
      <c r="S74" s="30">
        <f>P74-Datos!H74</f>
        <v>0.005</v>
      </c>
      <c r="T74" s="30" t="str">
        <f t="shared" si="5"/>
        <v>Igual</v>
      </c>
      <c r="U74" s="30" t="str">
        <f>Datos!O74</f>
        <v>intermedio</v>
      </c>
      <c r="V74" s="30" t="str">
        <f>Datos!Q74</f>
        <v>bueno</v>
      </c>
    </row>
    <row r="75" ht="15.75" customHeight="1">
      <c r="A75" s="30">
        <f>Datos!A75</f>
        <v>98230331</v>
      </c>
      <c r="B75" s="30">
        <f>Datos!B75</f>
        <v>300</v>
      </c>
      <c r="C75" s="30">
        <f>Datos!C75</f>
        <v>150</v>
      </c>
      <c r="D75" s="30">
        <f>Datos!D75</f>
        <v>125</v>
      </c>
      <c r="E75" s="30">
        <f>(B75/600)*'PANEL DE CONTROL'!$C$7</f>
        <v>300</v>
      </c>
      <c r="F75" s="30">
        <f>(C75/150)*'PANEL DE CONTROL'!$C$8</f>
        <v>150</v>
      </c>
      <c r="G75" s="30">
        <f>(D75/250)*'PANEL DE CONTROL'!$C$9</f>
        <v>125</v>
      </c>
      <c r="H75" s="30">
        <f t="shared" si="1"/>
        <v>575</v>
      </c>
      <c r="I75" s="30">
        <f>IF(Datos!K75&gt;30,'PANEL DE CONTROL'!$D$14,0)+IF(Datos!M75&gt;80,'PANEL DE CONTROL'!$D$15,0)</f>
        <v>0</v>
      </c>
      <c r="J75" s="30">
        <f>IF(Datos!L75&lt;10,'PANEL DE CONTROL'!$D$16,0)+IF(Datos!N75&gt;24,'PANEL DE CONTROL'!$D$17,0)</f>
        <v>0</v>
      </c>
      <c r="K75" s="30">
        <f t="shared" si="2"/>
        <v>575</v>
      </c>
      <c r="L75" s="30">
        <f>Datos!G75</f>
        <v>807.16</v>
      </c>
      <c r="M75" s="30">
        <f>IF(Datos!O75="muy_nuevo",'PANEL DE CONTROL'!$C$22,IF(Datos!O75="nuevo",'PANEL DE CONTROL'!$C$23,IF(Datos!O75="intermedio",'PANEL DE CONTROL'!$C$24,IF(Datos!O75="establecido",'PANEL DE CONTROL'!$C$25,'PANEL DE CONTROL'!$C$26))))</f>
        <v>0.6</v>
      </c>
      <c r="N75" s="30">
        <f>IF(Datos!J75&gt;=20,0.1,IF(Datos!J75&lt;5,-0.1,0))</f>
        <v>0.1</v>
      </c>
      <c r="O75" s="30">
        <f t="shared" si="3"/>
        <v>0.7</v>
      </c>
      <c r="P75" s="30">
        <f t="shared" si="4"/>
        <v>644.648</v>
      </c>
      <c r="Q75" s="30" t="str">
        <f>IF(P75&gt;='PANEL DE CONTROL'!$B$30,"A+",IF(P75&gt;='PANEL DE CONTROL'!$B$31,"A",IF(P75&gt;='PANEL DE CONTROL'!$B$32,"A-",IF(P75&gt;='PANEL DE CONTROL'!$B$33,"B+",IF(P75&gt;='PANEL DE CONTROL'!$B$34,"B",IF(P75&gt;='PANEL DE CONTROL'!$B$35,"B-",IF(P75&gt;='PANEL DE CONTROL'!$B$36,"C+",IF(P75&gt;='PANEL DE CONTROL'!$B$37,"C",IF(P75&gt;='PANEL DE CONTROL'!$B$38,"C-",IF(P75&gt;='PANEL DE CONTROL'!$B$39,"D+",IF(P75&gt;='PANEL DE CONTROL'!$B$40,"D","F")))))))))))</f>
        <v>C+</v>
      </c>
      <c r="R75" s="30" t="str">
        <f>Datos!I75</f>
        <v>B-</v>
      </c>
      <c r="S75" s="30">
        <f>P75-Datos!H75</f>
        <v>-23.212</v>
      </c>
      <c r="T75" s="30" t="str">
        <f t="shared" si="5"/>
        <v>Empeora</v>
      </c>
      <c r="U75" s="30" t="str">
        <f>Datos!O75</f>
        <v>establecido</v>
      </c>
      <c r="V75" s="30" t="str">
        <f>Datos!Q75</f>
        <v>bueno</v>
      </c>
    </row>
    <row r="76" ht="15.75" customHeight="1">
      <c r="A76" s="30">
        <f>Datos!A76</f>
        <v>95996418</v>
      </c>
      <c r="B76" s="30">
        <f>Datos!B76</f>
        <v>300</v>
      </c>
      <c r="C76" s="30">
        <f>Datos!C76</f>
        <v>150</v>
      </c>
      <c r="D76" s="30">
        <f>Datos!D76</f>
        <v>200</v>
      </c>
      <c r="E76" s="30">
        <f>(B76/600)*'PANEL DE CONTROL'!$C$7</f>
        <v>300</v>
      </c>
      <c r="F76" s="30">
        <f>(C76/150)*'PANEL DE CONTROL'!$C$8</f>
        <v>150</v>
      </c>
      <c r="G76" s="30">
        <f>(D76/250)*'PANEL DE CONTROL'!$C$9</f>
        <v>200</v>
      </c>
      <c r="H76" s="30">
        <f t="shared" si="1"/>
        <v>650</v>
      </c>
      <c r="I76" s="30">
        <f>IF(Datos!K76&gt;30,'PANEL DE CONTROL'!$D$14,0)+IF(Datos!M76&gt;80,'PANEL DE CONTROL'!$D$15,0)</f>
        <v>0</v>
      </c>
      <c r="J76" s="30">
        <f>IF(Datos!L76&lt;10,'PANEL DE CONTROL'!$D$16,0)+IF(Datos!N76&gt;24,'PANEL DE CONTROL'!$D$17,0)</f>
        <v>0</v>
      </c>
      <c r="K76" s="30">
        <f t="shared" si="2"/>
        <v>650</v>
      </c>
      <c r="L76" s="30">
        <f>Datos!G76</f>
        <v>811.06</v>
      </c>
      <c r="M76" s="30">
        <f>IF(Datos!O76="muy_nuevo",'PANEL DE CONTROL'!$C$22,IF(Datos!O76="nuevo",'PANEL DE CONTROL'!$C$23,IF(Datos!O76="intermedio",'PANEL DE CONTROL'!$C$24,IF(Datos!O76="establecido",'PANEL DE CONTROL'!$C$25,'PANEL DE CONTROL'!$C$26))))</f>
        <v>0.6</v>
      </c>
      <c r="N76" s="30">
        <f>IF(Datos!J76&gt;=20,0.1,IF(Datos!J76&lt;5,-0.1,0))</f>
        <v>0.1</v>
      </c>
      <c r="O76" s="30">
        <f t="shared" si="3"/>
        <v>0.7</v>
      </c>
      <c r="P76" s="30">
        <f t="shared" si="4"/>
        <v>698.318</v>
      </c>
      <c r="Q76" s="30" t="str">
        <f>IF(P76&gt;='PANEL DE CONTROL'!$B$30,"A+",IF(P76&gt;='PANEL DE CONTROL'!$B$31,"A",IF(P76&gt;='PANEL DE CONTROL'!$B$32,"A-",IF(P76&gt;='PANEL DE CONTROL'!$B$33,"B+",IF(P76&gt;='PANEL DE CONTROL'!$B$34,"B",IF(P76&gt;='PANEL DE CONTROL'!$B$35,"B-",IF(P76&gt;='PANEL DE CONTROL'!$B$36,"C+",IF(P76&gt;='PANEL DE CONTROL'!$B$37,"C",IF(P76&gt;='PANEL DE CONTROL'!$B$38,"C-",IF(P76&gt;='PANEL DE CONTROL'!$B$39,"D+",IF(P76&gt;='PANEL DE CONTROL'!$B$40,"D","F")))))))))))</f>
        <v>B-</v>
      </c>
      <c r="R76" s="30" t="str">
        <f>Datos!I76</f>
        <v>B</v>
      </c>
      <c r="S76" s="30">
        <f>P76-Datos!H76</f>
        <v>-16.102</v>
      </c>
      <c r="T76" s="30" t="str">
        <f t="shared" si="5"/>
        <v>Empeora</v>
      </c>
      <c r="U76" s="30" t="str">
        <f>Datos!O76</f>
        <v>establecido</v>
      </c>
      <c r="V76" s="30" t="str">
        <f>Datos!Q76</f>
        <v>bueno</v>
      </c>
    </row>
    <row r="77" ht="15.75" customHeight="1">
      <c r="A77" s="30">
        <f>Datos!A77</f>
        <v>41508280</v>
      </c>
      <c r="B77" s="30">
        <f>Datos!B77</f>
        <v>450</v>
      </c>
      <c r="C77" s="30">
        <f>Datos!C77</f>
        <v>150</v>
      </c>
      <c r="D77" s="30">
        <f>Datos!D77</f>
        <v>125</v>
      </c>
      <c r="E77" s="30">
        <f>(B77/600)*'PANEL DE CONTROL'!$C$7</f>
        <v>450</v>
      </c>
      <c r="F77" s="30">
        <f>(C77/150)*'PANEL DE CONTROL'!$C$8</f>
        <v>150</v>
      </c>
      <c r="G77" s="30">
        <f>(D77/250)*'PANEL DE CONTROL'!$C$9</f>
        <v>125</v>
      </c>
      <c r="H77" s="30">
        <f t="shared" si="1"/>
        <v>725</v>
      </c>
      <c r="I77" s="30">
        <f>IF(Datos!K77&gt;30,'PANEL DE CONTROL'!$D$14,0)+IF(Datos!M77&gt;80,'PANEL DE CONTROL'!$D$15,0)</f>
        <v>0</v>
      </c>
      <c r="J77" s="30">
        <f>IF(Datos!L77&lt;10,'PANEL DE CONTROL'!$D$16,0)+IF(Datos!N77&gt;24,'PANEL DE CONTROL'!$D$17,0)</f>
        <v>0</v>
      </c>
      <c r="K77" s="30">
        <f t="shared" si="2"/>
        <v>725</v>
      </c>
      <c r="L77" s="30">
        <f>Datos!G77</f>
        <v>756.34</v>
      </c>
      <c r="M77" s="30">
        <f>IF(Datos!O77="muy_nuevo",'PANEL DE CONTROL'!$C$22,IF(Datos!O77="nuevo",'PANEL DE CONTROL'!$C$23,IF(Datos!O77="intermedio",'PANEL DE CONTROL'!$C$24,IF(Datos!O77="establecido",'PANEL DE CONTROL'!$C$25,'PANEL DE CONTROL'!$C$26))))</f>
        <v>0.5</v>
      </c>
      <c r="N77" s="30">
        <f>IF(Datos!J77&gt;=20,0.1,IF(Datos!J77&lt;5,-0.1,0))</f>
        <v>0</v>
      </c>
      <c r="O77" s="30">
        <f t="shared" si="3"/>
        <v>0.5</v>
      </c>
      <c r="P77" s="30">
        <f t="shared" si="4"/>
        <v>740.67</v>
      </c>
      <c r="Q77" s="30" t="str">
        <f>IF(P77&gt;='PANEL DE CONTROL'!$B$30,"A+",IF(P77&gt;='PANEL DE CONTROL'!$B$31,"A",IF(P77&gt;='PANEL DE CONTROL'!$B$32,"A-",IF(P77&gt;='PANEL DE CONTROL'!$B$33,"B+",IF(P77&gt;='PANEL DE CONTROL'!$B$34,"B",IF(P77&gt;='PANEL DE CONTROL'!$B$35,"B-",IF(P77&gt;='PANEL DE CONTROL'!$B$36,"C+",IF(P77&gt;='PANEL DE CONTROL'!$B$37,"C",IF(P77&gt;='PANEL DE CONTROL'!$B$38,"C-",IF(P77&gt;='PANEL DE CONTROL'!$B$39,"D+",IF(P77&gt;='PANEL DE CONTROL'!$B$40,"D","F")))))))))))</f>
        <v>B</v>
      </c>
      <c r="R77" s="30" t="str">
        <f>Datos!I77</f>
        <v>B</v>
      </c>
      <c r="S77" s="30">
        <f>P77-Datos!H77</f>
        <v>0</v>
      </c>
      <c r="T77" s="30" t="str">
        <f t="shared" si="5"/>
        <v>Igual</v>
      </c>
      <c r="U77" s="30" t="str">
        <f>Datos!O77</f>
        <v>intermedio</v>
      </c>
      <c r="V77" s="30" t="str">
        <f>Datos!Q77</f>
        <v>bueno</v>
      </c>
    </row>
    <row r="78" ht="15.75" customHeight="1">
      <c r="A78" s="30">
        <f>Datos!A78</f>
        <v>86539364</v>
      </c>
      <c r="B78" s="30">
        <f>Datos!B78</f>
        <v>450</v>
      </c>
      <c r="C78" s="30">
        <f>Datos!C78</f>
        <v>100</v>
      </c>
      <c r="D78" s="30">
        <f>Datos!D78</f>
        <v>125</v>
      </c>
      <c r="E78" s="30">
        <f>(B78/600)*'PANEL DE CONTROL'!$C$7</f>
        <v>450</v>
      </c>
      <c r="F78" s="30">
        <f>(C78/150)*'PANEL DE CONTROL'!$C$8</f>
        <v>100</v>
      </c>
      <c r="G78" s="30">
        <f>(D78/250)*'PANEL DE CONTROL'!$C$9</f>
        <v>125</v>
      </c>
      <c r="H78" s="30">
        <f t="shared" si="1"/>
        <v>675</v>
      </c>
      <c r="I78" s="30">
        <f>IF(Datos!K78&gt;30,'PANEL DE CONTROL'!$D$14,0)+IF(Datos!M78&gt;80,'PANEL DE CONTROL'!$D$15,0)</f>
        <v>0</v>
      </c>
      <c r="J78" s="30">
        <f>IF(Datos!L78&lt;10,'PANEL DE CONTROL'!$D$16,0)+IF(Datos!N78&gt;24,'PANEL DE CONTROL'!$D$17,0)</f>
        <v>0</v>
      </c>
      <c r="K78" s="30">
        <f t="shared" si="2"/>
        <v>675</v>
      </c>
      <c r="L78" s="30">
        <f>Datos!G78</f>
        <v>791.18</v>
      </c>
      <c r="M78" s="30">
        <f>IF(Datos!O78="muy_nuevo",'PANEL DE CONTROL'!$C$22,IF(Datos!O78="nuevo",'PANEL DE CONTROL'!$C$23,IF(Datos!O78="intermedio",'PANEL DE CONTROL'!$C$24,IF(Datos!O78="establecido",'PANEL DE CONTROL'!$C$25,'PANEL DE CONTROL'!$C$26))))</f>
        <v>0.6</v>
      </c>
      <c r="N78" s="30">
        <f>IF(Datos!J78&gt;=20,0.1,IF(Datos!J78&lt;5,-0.1,0))</f>
        <v>0</v>
      </c>
      <c r="O78" s="30">
        <f t="shared" si="3"/>
        <v>0.6</v>
      </c>
      <c r="P78" s="30">
        <f t="shared" si="4"/>
        <v>721.472</v>
      </c>
      <c r="Q78" s="30" t="str">
        <f>IF(P78&gt;='PANEL DE CONTROL'!$B$30,"A+",IF(P78&gt;='PANEL DE CONTROL'!$B$31,"A",IF(P78&gt;='PANEL DE CONTROL'!$B$32,"A-",IF(P78&gt;='PANEL DE CONTROL'!$B$33,"B+",IF(P78&gt;='PANEL DE CONTROL'!$B$34,"B",IF(P78&gt;='PANEL DE CONTROL'!$B$35,"B-",IF(P78&gt;='PANEL DE CONTROL'!$B$36,"C+",IF(P78&gt;='PANEL DE CONTROL'!$B$37,"C",IF(P78&gt;='PANEL DE CONTROL'!$B$38,"C-",IF(P78&gt;='PANEL DE CONTROL'!$B$39,"D+",IF(P78&gt;='PANEL DE CONTROL'!$B$40,"D","F")))))))))))</f>
        <v>B</v>
      </c>
      <c r="R78" s="30" t="str">
        <f>Datos!I78</f>
        <v>B</v>
      </c>
      <c r="S78" s="30">
        <f>P78-Datos!H78</f>
        <v>0.002</v>
      </c>
      <c r="T78" s="30" t="str">
        <f t="shared" si="5"/>
        <v>Igual</v>
      </c>
      <c r="U78" s="30" t="str">
        <f>Datos!O78</f>
        <v>establecido</v>
      </c>
      <c r="V78" s="30" t="str">
        <f>Datos!Q78</f>
        <v>bueno</v>
      </c>
    </row>
    <row r="79" ht="15.75" customHeight="1">
      <c r="A79" s="30">
        <f>Datos!A79</f>
        <v>69697831</v>
      </c>
      <c r="B79" s="30">
        <f>Datos!B79</f>
        <v>530</v>
      </c>
      <c r="C79" s="30">
        <f>Datos!C79</f>
        <v>150</v>
      </c>
      <c r="D79" s="30">
        <f>Datos!D79</f>
        <v>125</v>
      </c>
      <c r="E79" s="30">
        <f>(B79/600)*'PANEL DE CONTROL'!$C$7</f>
        <v>530</v>
      </c>
      <c r="F79" s="30">
        <f>(C79/150)*'PANEL DE CONTROL'!$C$8</f>
        <v>150</v>
      </c>
      <c r="G79" s="30">
        <f>(D79/250)*'PANEL DE CONTROL'!$C$9</f>
        <v>125</v>
      </c>
      <c r="H79" s="30">
        <f t="shared" si="1"/>
        <v>805</v>
      </c>
      <c r="I79" s="30">
        <f>IF(Datos!K79&gt;30,'PANEL DE CONTROL'!$D$14,0)+IF(Datos!M79&gt;80,'PANEL DE CONTROL'!$D$15,0)</f>
        <v>0</v>
      </c>
      <c r="J79" s="30">
        <f>IF(Datos!L79&lt;10,'PANEL DE CONTROL'!$D$16,0)+IF(Datos!N79&gt;24,'PANEL DE CONTROL'!$D$17,0)</f>
        <v>0</v>
      </c>
      <c r="K79" s="30">
        <f t="shared" si="2"/>
        <v>805</v>
      </c>
      <c r="L79" s="30">
        <f>Datos!G79</f>
        <v>842.64</v>
      </c>
      <c r="M79" s="30">
        <f>IF(Datos!O79="muy_nuevo",'PANEL DE CONTROL'!$C$22,IF(Datos!O79="nuevo",'PANEL DE CONTROL'!$C$23,IF(Datos!O79="intermedio",'PANEL DE CONTROL'!$C$24,IF(Datos!O79="establecido",'PANEL DE CONTROL'!$C$25,'PANEL DE CONTROL'!$C$26))))</f>
        <v>0.5</v>
      </c>
      <c r="N79" s="30">
        <f>IF(Datos!J79&gt;=20,0.1,IF(Datos!J79&lt;5,-0.1,0))</f>
        <v>0.1</v>
      </c>
      <c r="O79" s="30">
        <f t="shared" si="3"/>
        <v>0.6</v>
      </c>
      <c r="P79" s="30">
        <f t="shared" si="4"/>
        <v>820.056</v>
      </c>
      <c r="Q79" s="30" t="str">
        <f>IF(P79&gt;='PANEL DE CONTROL'!$B$30,"A+",IF(P79&gt;='PANEL DE CONTROL'!$B$31,"A",IF(P79&gt;='PANEL DE CONTROL'!$B$32,"A-",IF(P79&gt;='PANEL DE CONTROL'!$B$33,"B+",IF(P79&gt;='PANEL DE CONTROL'!$B$34,"B",IF(P79&gt;='PANEL DE CONTROL'!$B$35,"B-",IF(P79&gt;='PANEL DE CONTROL'!$B$36,"C+",IF(P79&gt;='PANEL DE CONTROL'!$B$37,"C",IF(P79&gt;='PANEL DE CONTROL'!$B$38,"C-",IF(P79&gt;='PANEL DE CONTROL'!$B$39,"D+",IF(P79&gt;='PANEL DE CONTROL'!$B$40,"D","F")))))))))))</f>
        <v>A-</v>
      </c>
      <c r="R79" s="30" t="str">
        <f>Datos!I79</f>
        <v>A-</v>
      </c>
      <c r="S79" s="30">
        <f>P79-Datos!H79</f>
        <v>-3.764</v>
      </c>
      <c r="T79" s="30" t="str">
        <f t="shared" si="5"/>
        <v>Igual</v>
      </c>
      <c r="U79" s="30" t="str">
        <f>Datos!O79</f>
        <v>intermedio</v>
      </c>
      <c r="V79" s="30" t="str">
        <f>Datos!Q79</f>
        <v>bueno</v>
      </c>
    </row>
    <row r="80" ht="15.75" customHeight="1">
      <c r="A80" s="30">
        <f>Datos!A80</f>
        <v>56534282</v>
      </c>
      <c r="B80" s="30">
        <f>Datos!B80</f>
        <v>300</v>
      </c>
      <c r="C80" s="30">
        <f>Datos!C80</f>
        <v>150</v>
      </c>
      <c r="D80" s="30">
        <f>Datos!D80</f>
        <v>125</v>
      </c>
      <c r="E80" s="30">
        <f>(B80/600)*'PANEL DE CONTROL'!$C$7</f>
        <v>300</v>
      </c>
      <c r="F80" s="30">
        <f>(C80/150)*'PANEL DE CONTROL'!$C$8</f>
        <v>150</v>
      </c>
      <c r="G80" s="30">
        <f>(D80/250)*'PANEL DE CONTROL'!$C$9</f>
        <v>125</v>
      </c>
      <c r="H80" s="30">
        <f t="shared" si="1"/>
        <v>575</v>
      </c>
      <c r="I80" s="30">
        <f>IF(Datos!K80&gt;30,'PANEL DE CONTROL'!$D$14,0)+IF(Datos!M80&gt;80,'PANEL DE CONTROL'!$D$15,0)</f>
        <v>0</v>
      </c>
      <c r="J80" s="30">
        <f>IF(Datos!L80&lt;10,'PANEL DE CONTROL'!$D$16,0)+IF(Datos!N80&gt;24,'PANEL DE CONTROL'!$D$17,0)</f>
        <v>0</v>
      </c>
      <c r="K80" s="30">
        <f t="shared" si="2"/>
        <v>575</v>
      </c>
      <c r="L80" s="30">
        <f>Datos!G80</f>
        <v>813.38</v>
      </c>
      <c r="M80" s="30">
        <f>IF(Datos!O80="muy_nuevo",'PANEL DE CONTROL'!$C$22,IF(Datos!O80="nuevo",'PANEL DE CONTROL'!$C$23,IF(Datos!O80="intermedio",'PANEL DE CONTROL'!$C$24,IF(Datos!O80="establecido",'PANEL DE CONTROL'!$C$25,'PANEL DE CONTROL'!$C$26))))</f>
        <v>0.5</v>
      </c>
      <c r="N80" s="30">
        <f>IF(Datos!J80&gt;=20,0.1,IF(Datos!J80&lt;5,-0.1,0))</f>
        <v>0.1</v>
      </c>
      <c r="O80" s="30">
        <f t="shared" si="3"/>
        <v>0.6</v>
      </c>
      <c r="P80" s="30">
        <f t="shared" si="4"/>
        <v>670.352</v>
      </c>
      <c r="Q80" s="30" t="str">
        <f>IF(P80&gt;='PANEL DE CONTROL'!$B$30,"A+",IF(P80&gt;='PANEL DE CONTROL'!$B$31,"A",IF(P80&gt;='PANEL DE CONTROL'!$B$32,"A-",IF(P80&gt;='PANEL DE CONTROL'!$B$33,"B+",IF(P80&gt;='PANEL DE CONTROL'!$B$34,"B",IF(P80&gt;='PANEL DE CONTROL'!$B$35,"B-",IF(P80&gt;='PANEL DE CONTROL'!$B$36,"C+",IF(P80&gt;='PANEL DE CONTROL'!$B$37,"C",IF(P80&gt;='PANEL DE CONTROL'!$B$38,"C-",IF(P80&gt;='PANEL DE CONTROL'!$B$39,"D+",IF(P80&gt;='PANEL DE CONTROL'!$B$40,"D","F")))))))))))</f>
        <v>B-</v>
      </c>
      <c r="R80" s="30" t="str">
        <f>Datos!I80</f>
        <v>B-</v>
      </c>
      <c r="S80" s="30">
        <f>P80-Datos!H80</f>
        <v>-23.838</v>
      </c>
      <c r="T80" s="30" t="str">
        <f t="shared" si="5"/>
        <v>Empeora</v>
      </c>
      <c r="U80" s="30" t="str">
        <f>Datos!O80</f>
        <v>intermedio</v>
      </c>
      <c r="V80" s="30" t="str">
        <f>Datos!Q80</f>
        <v>bueno</v>
      </c>
    </row>
    <row r="81" ht="15.75" customHeight="1">
      <c r="A81" s="30">
        <f>Datos!A81</f>
        <v>56172148</v>
      </c>
      <c r="B81" s="30">
        <f>Datos!B81</f>
        <v>530</v>
      </c>
      <c r="C81" s="30">
        <f>Datos!C81</f>
        <v>150</v>
      </c>
      <c r="D81" s="30">
        <f>Datos!D81</f>
        <v>200</v>
      </c>
      <c r="E81" s="30">
        <f>(B81/600)*'PANEL DE CONTROL'!$C$7</f>
        <v>530</v>
      </c>
      <c r="F81" s="30">
        <f>(C81/150)*'PANEL DE CONTROL'!$C$8</f>
        <v>150</v>
      </c>
      <c r="G81" s="30">
        <f>(D81/250)*'PANEL DE CONTROL'!$C$9</f>
        <v>200</v>
      </c>
      <c r="H81" s="30">
        <f t="shared" si="1"/>
        <v>880</v>
      </c>
      <c r="I81" s="30">
        <f>IF(Datos!K81&gt;30,'PANEL DE CONTROL'!$D$14,0)+IF(Datos!M81&gt;80,'PANEL DE CONTROL'!$D$15,0)</f>
        <v>0</v>
      </c>
      <c r="J81" s="30">
        <f>IF(Datos!L81&lt;10,'PANEL DE CONTROL'!$D$16,0)+IF(Datos!N81&gt;24,'PANEL DE CONTROL'!$D$17,0)</f>
        <v>0</v>
      </c>
      <c r="K81" s="30">
        <f t="shared" si="2"/>
        <v>880</v>
      </c>
      <c r="L81" s="30">
        <f>Datos!G81</f>
        <v>803.98</v>
      </c>
      <c r="M81" s="30">
        <f>IF(Datos!O81="muy_nuevo",'PANEL DE CONTROL'!$C$22,IF(Datos!O81="nuevo",'PANEL DE CONTROL'!$C$23,IF(Datos!O81="intermedio",'PANEL DE CONTROL'!$C$24,IF(Datos!O81="establecido",'PANEL DE CONTROL'!$C$25,'PANEL DE CONTROL'!$C$26))))</f>
        <v>0.6</v>
      </c>
      <c r="N81" s="30">
        <f>IF(Datos!J81&gt;=20,0.1,IF(Datos!J81&lt;5,-0.1,0))</f>
        <v>0.1</v>
      </c>
      <c r="O81" s="30">
        <f t="shared" si="3"/>
        <v>0.7</v>
      </c>
      <c r="P81" s="30">
        <f t="shared" si="4"/>
        <v>857.194</v>
      </c>
      <c r="Q81" s="30" t="str">
        <f>IF(P81&gt;='PANEL DE CONTROL'!$B$30,"A+",IF(P81&gt;='PANEL DE CONTROL'!$B$31,"A",IF(P81&gt;='PANEL DE CONTROL'!$B$32,"A-",IF(P81&gt;='PANEL DE CONTROL'!$B$33,"B+",IF(P81&gt;='PANEL DE CONTROL'!$B$34,"B",IF(P81&gt;='PANEL DE CONTROL'!$B$35,"B-",IF(P81&gt;='PANEL DE CONTROL'!$B$36,"C+",IF(P81&gt;='PANEL DE CONTROL'!$B$37,"C",IF(P81&gt;='PANEL DE CONTROL'!$B$38,"C-",IF(P81&gt;='PANEL DE CONTROL'!$B$39,"D+",IF(P81&gt;='PANEL DE CONTROL'!$B$40,"D","F")))))))))))</f>
        <v>A</v>
      </c>
      <c r="R81" s="30" t="str">
        <f>Datos!I81</f>
        <v>A-</v>
      </c>
      <c r="S81" s="30">
        <f>P81-Datos!H81</f>
        <v>7.604</v>
      </c>
      <c r="T81" s="30" t="str">
        <f t="shared" si="5"/>
        <v>Mejora</v>
      </c>
      <c r="U81" s="30" t="str">
        <f>Datos!O81</f>
        <v>establecido</v>
      </c>
      <c r="V81" s="30" t="str">
        <f>Datos!Q81</f>
        <v>bueno</v>
      </c>
    </row>
    <row r="82" ht="15.75" customHeight="1">
      <c r="A82" s="30">
        <f>Datos!A82</f>
        <v>85708464</v>
      </c>
      <c r="B82" s="30">
        <f>Datos!B82</f>
        <v>200</v>
      </c>
      <c r="C82" s="30">
        <f>Datos!C82</f>
        <v>150</v>
      </c>
      <c r="D82" s="30">
        <f>Datos!D82</f>
        <v>75</v>
      </c>
      <c r="E82" s="30">
        <f>(B82/600)*'PANEL DE CONTROL'!$C$7</f>
        <v>200</v>
      </c>
      <c r="F82" s="30">
        <f>(C82/150)*'PANEL DE CONTROL'!$C$8</f>
        <v>150</v>
      </c>
      <c r="G82" s="30">
        <f>(D82/250)*'PANEL DE CONTROL'!$C$9</f>
        <v>75</v>
      </c>
      <c r="H82" s="30">
        <f t="shared" si="1"/>
        <v>425</v>
      </c>
      <c r="I82" s="30">
        <f>IF(Datos!K82&gt;30,'PANEL DE CONTROL'!$D$14,0)+IF(Datos!M82&gt;80,'PANEL DE CONTROL'!$D$15,0)</f>
        <v>0</v>
      </c>
      <c r="J82" s="30">
        <f>IF(Datos!L82&lt;10,'PANEL DE CONTROL'!$D$16,0)+IF(Datos!N82&gt;24,'PANEL DE CONTROL'!$D$17,0)</f>
        <v>0</v>
      </c>
      <c r="K82" s="30">
        <f t="shared" si="2"/>
        <v>425</v>
      </c>
      <c r="L82" s="30">
        <f>Datos!G82</f>
        <v>664.73</v>
      </c>
      <c r="M82" s="30">
        <f>IF(Datos!O82="muy_nuevo",'PANEL DE CONTROL'!$C$22,IF(Datos!O82="nuevo",'PANEL DE CONTROL'!$C$23,IF(Datos!O82="intermedio",'PANEL DE CONTROL'!$C$24,IF(Datos!O82="establecido",'PANEL DE CONTROL'!$C$25,'PANEL DE CONTROL'!$C$26))))</f>
        <v>0.5</v>
      </c>
      <c r="N82" s="30">
        <f>IF(Datos!J82&gt;=20,0.1,IF(Datos!J82&lt;5,-0.1,0))</f>
        <v>0</v>
      </c>
      <c r="O82" s="30">
        <f t="shared" si="3"/>
        <v>0.5</v>
      </c>
      <c r="P82" s="30">
        <f t="shared" si="4"/>
        <v>544.865</v>
      </c>
      <c r="Q82" s="30" t="str">
        <f>IF(P82&gt;='PANEL DE CONTROL'!$B$30,"A+",IF(P82&gt;='PANEL DE CONTROL'!$B$31,"A",IF(P82&gt;='PANEL DE CONTROL'!$B$32,"A-",IF(P82&gt;='PANEL DE CONTROL'!$B$33,"B+",IF(P82&gt;='PANEL DE CONTROL'!$B$34,"B",IF(P82&gt;='PANEL DE CONTROL'!$B$35,"B-",IF(P82&gt;='PANEL DE CONTROL'!$B$36,"C+",IF(P82&gt;='PANEL DE CONTROL'!$B$37,"C",IF(P82&gt;='PANEL DE CONTROL'!$B$38,"C-",IF(P82&gt;='PANEL DE CONTROL'!$B$39,"D+",IF(P82&gt;='PANEL DE CONTROL'!$B$40,"D","F")))))))))))</f>
        <v>C-</v>
      </c>
      <c r="R82" s="30" t="str">
        <f>Datos!I82</f>
        <v>C-</v>
      </c>
      <c r="S82" s="30">
        <f>P82-Datos!H82</f>
        <v>0.005</v>
      </c>
      <c r="T82" s="30" t="str">
        <f t="shared" si="5"/>
        <v>Igual</v>
      </c>
      <c r="U82" s="30" t="str">
        <f>Datos!O82</f>
        <v>intermedio</v>
      </c>
      <c r="V82" s="30" t="str">
        <f>Datos!Q82</f>
        <v>regular</v>
      </c>
    </row>
    <row r="83" ht="15.75" customHeight="1">
      <c r="A83" s="30">
        <f>Datos!A83</f>
        <v>86480556</v>
      </c>
      <c r="B83" s="30">
        <f>Datos!B83</f>
        <v>300</v>
      </c>
      <c r="C83" s="30">
        <f>Datos!C83</f>
        <v>50</v>
      </c>
      <c r="D83" s="30">
        <f>Datos!D83</f>
        <v>125</v>
      </c>
      <c r="E83" s="30">
        <f>(B83/600)*'PANEL DE CONTROL'!$C$7</f>
        <v>300</v>
      </c>
      <c r="F83" s="30">
        <f>(C83/150)*'PANEL DE CONTROL'!$C$8</f>
        <v>50</v>
      </c>
      <c r="G83" s="30">
        <f>(D83/250)*'PANEL DE CONTROL'!$C$9</f>
        <v>125</v>
      </c>
      <c r="H83" s="30">
        <f t="shared" si="1"/>
        <v>475</v>
      </c>
      <c r="I83" s="30">
        <f>IF(Datos!K83&gt;30,'PANEL DE CONTROL'!$D$14,0)+IF(Datos!M83&gt;80,'PANEL DE CONTROL'!$D$15,0)</f>
        <v>0</v>
      </c>
      <c r="J83" s="30">
        <f>IF(Datos!L83&lt;10,'PANEL DE CONTROL'!$D$16,0)+IF(Datos!N83&gt;24,'PANEL DE CONTROL'!$D$17,0)</f>
        <v>0</v>
      </c>
      <c r="K83" s="30">
        <f t="shared" si="2"/>
        <v>475</v>
      </c>
      <c r="L83" s="30">
        <f>Datos!G83</f>
        <v>622.75</v>
      </c>
      <c r="M83" s="30">
        <f>IF(Datos!O83="muy_nuevo",'PANEL DE CONTROL'!$C$22,IF(Datos!O83="nuevo",'PANEL DE CONTROL'!$C$23,IF(Datos!O83="intermedio",'PANEL DE CONTROL'!$C$24,IF(Datos!O83="establecido",'PANEL DE CONTROL'!$C$25,'PANEL DE CONTROL'!$C$26))))</f>
        <v>0.5</v>
      </c>
      <c r="N83" s="30">
        <f>IF(Datos!J83&gt;=20,0.1,IF(Datos!J83&lt;5,-0.1,0))</f>
        <v>0.1</v>
      </c>
      <c r="O83" s="30">
        <f t="shared" si="3"/>
        <v>0.6</v>
      </c>
      <c r="P83" s="30">
        <f t="shared" si="4"/>
        <v>534.1</v>
      </c>
      <c r="Q83" s="30" t="str">
        <f>IF(P83&gt;='PANEL DE CONTROL'!$B$30,"A+",IF(P83&gt;='PANEL DE CONTROL'!$B$31,"A",IF(P83&gt;='PANEL DE CONTROL'!$B$32,"A-",IF(P83&gt;='PANEL DE CONTROL'!$B$33,"B+",IF(P83&gt;='PANEL DE CONTROL'!$B$34,"B",IF(P83&gt;='PANEL DE CONTROL'!$B$35,"B-",IF(P83&gt;='PANEL DE CONTROL'!$B$36,"C+",IF(P83&gt;='PANEL DE CONTROL'!$B$37,"C",IF(P83&gt;='PANEL DE CONTROL'!$B$38,"C-",IF(P83&gt;='PANEL DE CONTROL'!$B$39,"D+",IF(P83&gt;='PANEL DE CONTROL'!$B$40,"D","F")))))))))))</f>
        <v>C-</v>
      </c>
      <c r="R83" s="30" t="str">
        <f>Datos!I83</f>
        <v>C-</v>
      </c>
      <c r="S83" s="30">
        <f>P83-Datos!H83</f>
        <v>-14.78</v>
      </c>
      <c r="T83" s="30" t="str">
        <f t="shared" si="5"/>
        <v>Empeora</v>
      </c>
      <c r="U83" s="30" t="str">
        <f>Datos!O83</f>
        <v>intermedio</v>
      </c>
      <c r="V83" s="30" t="str">
        <f>Datos!Q83</f>
        <v>regular</v>
      </c>
    </row>
    <row r="84" ht="15.75" customHeight="1">
      <c r="A84" s="30">
        <f>Datos!A84</f>
        <v>50273673</v>
      </c>
      <c r="B84" s="30">
        <f>Datos!B84</f>
        <v>300</v>
      </c>
      <c r="C84" s="30">
        <f>Datos!C84</f>
        <v>50</v>
      </c>
      <c r="D84" s="30">
        <f>Datos!D84</f>
        <v>75</v>
      </c>
      <c r="E84" s="30">
        <f>(B84/600)*'PANEL DE CONTROL'!$C$7</f>
        <v>300</v>
      </c>
      <c r="F84" s="30">
        <f>(C84/150)*'PANEL DE CONTROL'!$C$8</f>
        <v>50</v>
      </c>
      <c r="G84" s="30">
        <f>(D84/250)*'PANEL DE CONTROL'!$C$9</f>
        <v>75</v>
      </c>
      <c r="H84" s="30">
        <f t="shared" si="1"/>
        <v>425</v>
      </c>
      <c r="I84" s="30">
        <f>IF(Datos!K84&gt;30,'PANEL DE CONTROL'!$D$14,0)+IF(Datos!M84&gt;80,'PANEL DE CONTROL'!$D$15,0)</f>
        <v>0</v>
      </c>
      <c r="J84" s="30">
        <f>IF(Datos!L84&lt;10,'PANEL DE CONTROL'!$D$16,0)+IF(Datos!N84&gt;24,'PANEL DE CONTROL'!$D$17,0)</f>
        <v>0</v>
      </c>
      <c r="K84" s="30">
        <f t="shared" si="2"/>
        <v>425</v>
      </c>
      <c r="L84" s="30">
        <f>Datos!G84</f>
        <v>723.19</v>
      </c>
      <c r="M84" s="30">
        <f>IF(Datos!O84="muy_nuevo",'PANEL DE CONTROL'!$C$22,IF(Datos!O84="nuevo",'PANEL DE CONTROL'!$C$23,IF(Datos!O84="intermedio",'PANEL DE CONTROL'!$C$24,IF(Datos!O84="establecido",'PANEL DE CONTROL'!$C$25,'PANEL DE CONTROL'!$C$26))))</f>
        <v>0.5</v>
      </c>
      <c r="N84" s="30">
        <f>IF(Datos!J84&gt;=20,0.1,IF(Datos!J84&lt;5,-0.1,0))</f>
        <v>0.1</v>
      </c>
      <c r="O84" s="30">
        <f t="shared" si="3"/>
        <v>0.6</v>
      </c>
      <c r="P84" s="30">
        <f t="shared" si="4"/>
        <v>544.276</v>
      </c>
      <c r="Q84" s="30" t="str">
        <f>IF(P84&gt;='PANEL DE CONTROL'!$B$30,"A+",IF(P84&gt;='PANEL DE CONTROL'!$B$31,"A",IF(P84&gt;='PANEL DE CONTROL'!$B$32,"A-",IF(P84&gt;='PANEL DE CONTROL'!$B$33,"B+",IF(P84&gt;='PANEL DE CONTROL'!$B$34,"B",IF(P84&gt;='PANEL DE CONTROL'!$B$35,"B-",IF(P84&gt;='PANEL DE CONTROL'!$B$36,"C+",IF(P84&gt;='PANEL DE CONTROL'!$B$37,"C",IF(P84&gt;='PANEL DE CONTROL'!$B$38,"C-",IF(P84&gt;='PANEL DE CONTROL'!$B$39,"D+",IF(P84&gt;='PANEL DE CONTROL'!$B$40,"D","F")))))))))))</f>
        <v>C-</v>
      </c>
      <c r="R84" s="30" t="str">
        <f>Datos!I84</f>
        <v>C</v>
      </c>
      <c r="S84" s="30">
        <f>P84-Datos!H84</f>
        <v>-29.814</v>
      </c>
      <c r="T84" s="30" t="str">
        <f t="shared" si="5"/>
        <v>Empeora</v>
      </c>
      <c r="U84" s="30" t="str">
        <f>Datos!O84</f>
        <v>intermedio</v>
      </c>
      <c r="V84" s="30" t="str">
        <f>Datos!Q84</f>
        <v>regular</v>
      </c>
    </row>
    <row r="85" ht="15.75" customHeight="1">
      <c r="A85" s="30">
        <f>Datos!A85</f>
        <v>10290855</v>
      </c>
      <c r="B85" s="30">
        <f>Datos!B85</f>
        <v>300</v>
      </c>
      <c r="C85" s="30">
        <f>Datos!C85</f>
        <v>100</v>
      </c>
      <c r="D85" s="30">
        <f>Datos!D85</f>
        <v>125</v>
      </c>
      <c r="E85" s="30">
        <f>(B85/600)*'PANEL DE CONTROL'!$C$7</f>
        <v>300</v>
      </c>
      <c r="F85" s="30">
        <f>(C85/150)*'PANEL DE CONTROL'!$C$8</f>
        <v>100</v>
      </c>
      <c r="G85" s="30">
        <f>(D85/250)*'PANEL DE CONTROL'!$C$9</f>
        <v>125</v>
      </c>
      <c r="H85" s="30">
        <f t="shared" si="1"/>
        <v>525</v>
      </c>
      <c r="I85" s="30">
        <f>IF(Datos!K85&gt;30,'PANEL DE CONTROL'!$D$14,0)+IF(Datos!M85&gt;80,'PANEL DE CONTROL'!$D$15,0)</f>
        <v>0</v>
      </c>
      <c r="J85" s="30">
        <f>IF(Datos!L85&lt;10,'PANEL DE CONTROL'!$D$16,0)+IF(Datos!N85&gt;24,'PANEL DE CONTROL'!$D$17,0)</f>
        <v>0</v>
      </c>
      <c r="K85" s="30">
        <f t="shared" si="2"/>
        <v>525</v>
      </c>
      <c r="L85" s="30">
        <f>Datos!G85</f>
        <v>708.01</v>
      </c>
      <c r="M85" s="30">
        <f>IF(Datos!O85="muy_nuevo",'PANEL DE CONTROL'!$C$22,IF(Datos!O85="nuevo",'PANEL DE CONTROL'!$C$23,IF(Datos!O85="intermedio",'PANEL DE CONTROL'!$C$24,IF(Datos!O85="establecido",'PANEL DE CONTROL'!$C$25,'PANEL DE CONTROL'!$C$26))))</f>
        <v>0.4</v>
      </c>
      <c r="N85" s="30">
        <f>IF(Datos!J85&gt;=20,0.1,IF(Datos!J85&lt;5,-0.1,0))</f>
        <v>0.1</v>
      </c>
      <c r="O85" s="30">
        <f t="shared" si="3"/>
        <v>0.5</v>
      </c>
      <c r="P85" s="30">
        <f t="shared" si="4"/>
        <v>616.505</v>
      </c>
      <c r="Q85" s="30" t="str">
        <f>IF(P85&gt;='PANEL DE CONTROL'!$B$30,"A+",IF(P85&gt;='PANEL DE CONTROL'!$B$31,"A",IF(P85&gt;='PANEL DE CONTROL'!$B$32,"A-",IF(P85&gt;='PANEL DE CONTROL'!$B$33,"B+",IF(P85&gt;='PANEL DE CONTROL'!$B$34,"B",IF(P85&gt;='PANEL DE CONTROL'!$B$35,"B-",IF(P85&gt;='PANEL DE CONTROL'!$B$36,"C+",IF(P85&gt;='PANEL DE CONTROL'!$B$37,"C",IF(P85&gt;='PANEL DE CONTROL'!$B$38,"C-",IF(P85&gt;='PANEL DE CONTROL'!$B$39,"D+",IF(P85&gt;='PANEL DE CONTROL'!$B$40,"D","F")))))))))))</f>
        <v>C+</v>
      </c>
      <c r="R85" s="30" t="str">
        <f>Datos!I85</f>
        <v>C+</v>
      </c>
      <c r="S85" s="30">
        <f>P85-Datos!H85</f>
        <v>-18.295</v>
      </c>
      <c r="T85" s="30" t="str">
        <f t="shared" si="5"/>
        <v>Empeora</v>
      </c>
      <c r="U85" s="30" t="str">
        <f>Datos!O85</f>
        <v>nuevo</v>
      </c>
      <c r="V85" s="30" t="str">
        <f>Datos!Q85</f>
        <v>regular</v>
      </c>
    </row>
    <row r="86" ht="15.75" customHeight="1">
      <c r="A86" s="30">
        <f>Datos!A86</f>
        <v>38556262</v>
      </c>
      <c r="B86" s="30">
        <f>Datos!B86</f>
        <v>300</v>
      </c>
      <c r="C86" s="30">
        <f>Datos!C86</f>
        <v>50</v>
      </c>
      <c r="D86" s="30">
        <f>Datos!D86</f>
        <v>75</v>
      </c>
      <c r="E86" s="30">
        <f>(B86/600)*'PANEL DE CONTROL'!$C$7</f>
        <v>300</v>
      </c>
      <c r="F86" s="30">
        <f>(C86/150)*'PANEL DE CONTROL'!$C$8</f>
        <v>50</v>
      </c>
      <c r="G86" s="30">
        <f>(D86/250)*'PANEL DE CONTROL'!$C$9</f>
        <v>75</v>
      </c>
      <c r="H86" s="30">
        <f t="shared" si="1"/>
        <v>425</v>
      </c>
      <c r="I86" s="30">
        <f>IF(Datos!K86&gt;30,'PANEL DE CONTROL'!$D$14,0)+IF(Datos!M86&gt;80,'PANEL DE CONTROL'!$D$15,0)</f>
        <v>0</v>
      </c>
      <c r="J86" s="30">
        <f>IF(Datos!L86&lt;10,'PANEL DE CONTROL'!$D$16,0)+IF(Datos!N86&gt;24,'PANEL DE CONTROL'!$D$17,0)</f>
        <v>0</v>
      </c>
      <c r="K86" s="30">
        <f t="shared" si="2"/>
        <v>425</v>
      </c>
      <c r="L86" s="30">
        <f>Datos!G86</f>
        <v>669.3</v>
      </c>
      <c r="M86" s="30">
        <f>IF(Datos!O86="muy_nuevo",'PANEL DE CONTROL'!$C$22,IF(Datos!O86="nuevo",'PANEL DE CONTROL'!$C$23,IF(Datos!O86="intermedio",'PANEL DE CONTROL'!$C$24,IF(Datos!O86="establecido",'PANEL DE CONTROL'!$C$25,'PANEL DE CONTROL'!$C$26))))</f>
        <v>0.4</v>
      </c>
      <c r="N86" s="30">
        <f>IF(Datos!J86&gt;=20,0.1,IF(Datos!J86&lt;5,-0.1,0))</f>
        <v>0</v>
      </c>
      <c r="O86" s="30">
        <f t="shared" si="3"/>
        <v>0.4</v>
      </c>
      <c r="P86" s="30">
        <f t="shared" si="4"/>
        <v>571.58</v>
      </c>
      <c r="Q86" s="30" t="str">
        <f>IF(P86&gt;='PANEL DE CONTROL'!$B$30,"A+",IF(P86&gt;='PANEL DE CONTROL'!$B$31,"A",IF(P86&gt;='PANEL DE CONTROL'!$B$32,"A-",IF(P86&gt;='PANEL DE CONTROL'!$B$33,"B+",IF(P86&gt;='PANEL DE CONTROL'!$B$34,"B",IF(P86&gt;='PANEL DE CONTROL'!$B$35,"B-",IF(P86&gt;='PANEL DE CONTROL'!$B$36,"C+",IF(P86&gt;='PANEL DE CONTROL'!$B$37,"C",IF(P86&gt;='PANEL DE CONTROL'!$B$38,"C-",IF(P86&gt;='PANEL DE CONTROL'!$B$39,"D+",IF(P86&gt;='PANEL DE CONTROL'!$B$40,"D","F")))))))))))</f>
        <v>C</v>
      </c>
      <c r="R86" s="30" t="str">
        <f>Datos!I86</f>
        <v>C</v>
      </c>
      <c r="S86" s="30">
        <f>P86-Datos!H86</f>
        <v>0</v>
      </c>
      <c r="T86" s="30" t="str">
        <f t="shared" si="5"/>
        <v>Igual</v>
      </c>
      <c r="U86" s="30" t="str">
        <f>Datos!O86</f>
        <v>nuevo</v>
      </c>
      <c r="V86" s="30" t="str">
        <f>Datos!Q86</f>
        <v>regular</v>
      </c>
    </row>
    <row r="87" ht="15.75" customHeight="1">
      <c r="A87" s="30">
        <f>Datos!A87</f>
        <v>42207711</v>
      </c>
      <c r="B87" s="30">
        <f>Datos!B87</f>
        <v>300</v>
      </c>
      <c r="C87" s="30">
        <f>Datos!C87</f>
        <v>50</v>
      </c>
      <c r="D87" s="30">
        <f>Datos!D87</f>
        <v>75</v>
      </c>
      <c r="E87" s="30">
        <f>(B87/600)*'PANEL DE CONTROL'!$C$7</f>
        <v>300</v>
      </c>
      <c r="F87" s="30">
        <f>(C87/150)*'PANEL DE CONTROL'!$C$8</f>
        <v>50</v>
      </c>
      <c r="G87" s="30">
        <f>(D87/250)*'PANEL DE CONTROL'!$C$9</f>
        <v>75</v>
      </c>
      <c r="H87" s="30">
        <f t="shared" si="1"/>
        <v>425</v>
      </c>
      <c r="I87" s="30">
        <f>IF(Datos!K87&gt;30,'PANEL DE CONTROL'!$D$14,0)+IF(Datos!M87&gt;80,'PANEL DE CONTROL'!$D$15,0)</f>
        <v>0</v>
      </c>
      <c r="J87" s="30">
        <f>IF(Datos!L87&lt;10,'PANEL DE CONTROL'!$D$16,0)+IF(Datos!N87&gt;24,'PANEL DE CONTROL'!$D$17,0)</f>
        <v>0</v>
      </c>
      <c r="K87" s="30">
        <f t="shared" si="2"/>
        <v>425</v>
      </c>
      <c r="L87" s="30">
        <f>Datos!G87</f>
        <v>738.37</v>
      </c>
      <c r="M87" s="30">
        <f>IF(Datos!O87="muy_nuevo",'PANEL DE CONTROL'!$C$22,IF(Datos!O87="nuevo",'PANEL DE CONTROL'!$C$23,IF(Datos!O87="intermedio",'PANEL DE CONTROL'!$C$24,IF(Datos!O87="establecido",'PANEL DE CONTROL'!$C$25,'PANEL DE CONTROL'!$C$26))))</f>
        <v>0.4</v>
      </c>
      <c r="N87" s="30">
        <f>IF(Datos!J87&gt;=20,0.1,IF(Datos!J87&lt;5,-0.1,0))</f>
        <v>0.1</v>
      </c>
      <c r="O87" s="30">
        <f t="shared" si="3"/>
        <v>0.5</v>
      </c>
      <c r="P87" s="30">
        <f t="shared" si="4"/>
        <v>581.685</v>
      </c>
      <c r="Q87" s="30" t="str">
        <f>IF(P87&gt;='PANEL DE CONTROL'!$B$30,"A+",IF(P87&gt;='PANEL DE CONTROL'!$B$31,"A",IF(P87&gt;='PANEL DE CONTROL'!$B$32,"A-",IF(P87&gt;='PANEL DE CONTROL'!$B$33,"B+",IF(P87&gt;='PANEL DE CONTROL'!$B$34,"B",IF(P87&gt;='PANEL DE CONTROL'!$B$35,"B-",IF(P87&gt;='PANEL DE CONTROL'!$B$36,"C+",IF(P87&gt;='PANEL DE CONTROL'!$B$37,"C",IF(P87&gt;='PANEL DE CONTROL'!$B$38,"C-",IF(P87&gt;='PANEL DE CONTROL'!$B$39,"D+",IF(P87&gt;='PANEL DE CONTROL'!$B$40,"D","F")))))))))))</f>
        <v>C</v>
      </c>
      <c r="R87" s="30" t="str">
        <f>Datos!I87</f>
        <v>C+</v>
      </c>
      <c r="S87" s="30">
        <f>P87-Datos!H87</f>
        <v>-31.335</v>
      </c>
      <c r="T87" s="30" t="str">
        <f t="shared" si="5"/>
        <v>Empeora</v>
      </c>
      <c r="U87" s="30" t="str">
        <f>Datos!O87</f>
        <v>nuevo</v>
      </c>
      <c r="V87" s="30" t="str">
        <f>Datos!Q87</f>
        <v>regular</v>
      </c>
    </row>
    <row r="88" ht="15.75" customHeight="1">
      <c r="A88" s="30">
        <f>Datos!A88</f>
        <v>60585161</v>
      </c>
      <c r="B88" s="30">
        <f>Datos!B88</f>
        <v>300</v>
      </c>
      <c r="C88" s="30">
        <f>Datos!C88</f>
        <v>100</v>
      </c>
      <c r="D88" s="30">
        <f>Datos!D88</f>
        <v>75</v>
      </c>
      <c r="E88" s="30">
        <f>(B88/600)*'PANEL DE CONTROL'!$C$7</f>
        <v>300</v>
      </c>
      <c r="F88" s="30">
        <f>(C88/150)*'PANEL DE CONTROL'!$C$8</f>
        <v>100</v>
      </c>
      <c r="G88" s="30">
        <f>(D88/250)*'PANEL DE CONTROL'!$C$9</f>
        <v>75</v>
      </c>
      <c r="H88" s="30">
        <f t="shared" si="1"/>
        <v>475</v>
      </c>
      <c r="I88" s="30">
        <f>IF(Datos!K88&gt;30,'PANEL DE CONTROL'!$D$14,0)+IF(Datos!M88&gt;80,'PANEL DE CONTROL'!$D$15,0)</f>
        <v>0</v>
      </c>
      <c r="J88" s="30">
        <f>IF(Datos!L88&lt;10,'PANEL DE CONTROL'!$D$16,0)+IF(Datos!N88&gt;24,'PANEL DE CONTROL'!$D$17,0)</f>
        <v>0</v>
      </c>
      <c r="K88" s="30">
        <f t="shared" si="2"/>
        <v>475</v>
      </c>
      <c r="L88" s="30">
        <f>Datos!G88</f>
        <v>667.63</v>
      </c>
      <c r="M88" s="30">
        <f>IF(Datos!O88="muy_nuevo",'PANEL DE CONTROL'!$C$22,IF(Datos!O88="nuevo",'PANEL DE CONTROL'!$C$23,IF(Datos!O88="intermedio",'PANEL DE CONTROL'!$C$24,IF(Datos!O88="establecido",'PANEL DE CONTROL'!$C$25,'PANEL DE CONTROL'!$C$26))))</f>
        <v>0.5</v>
      </c>
      <c r="N88" s="30">
        <f>IF(Datos!J88&gt;=20,0.1,IF(Datos!J88&lt;5,-0.1,0))</f>
        <v>0.1</v>
      </c>
      <c r="O88" s="30">
        <f t="shared" si="3"/>
        <v>0.6</v>
      </c>
      <c r="P88" s="30">
        <f t="shared" si="4"/>
        <v>552.052</v>
      </c>
      <c r="Q88" s="30" t="str">
        <f>IF(P88&gt;='PANEL DE CONTROL'!$B$30,"A+",IF(P88&gt;='PANEL DE CONTROL'!$B$31,"A",IF(P88&gt;='PANEL DE CONTROL'!$B$32,"A-",IF(P88&gt;='PANEL DE CONTROL'!$B$33,"B+",IF(P88&gt;='PANEL DE CONTROL'!$B$34,"B",IF(P88&gt;='PANEL DE CONTROL'!$B$35,"B-",IF(P88&gt;='PANEL DE CONTROL'!$B$36,"C+",IF(P88&gt;='PANEL DE CONTROL'!$B$37,"C",IF(P88&gt;='PANEL DE CONTROL'!$B$38,"C-",IF(P88&gt;='PANEL DE CONTROL'!$B$39,"D+",IF(P88&gt;='PANEL DE CONTROL'!$B$40,"D","F")))))))))))</f>
        <v>C</v>
      </c>
      <c r="R88" s="30" t="str">
        <f>Datos!I88</f>
        <v>C</v>
      </c>
      <c r="S88" s="30">
        <f>P88-Datos!H88</f>
        <v>-19.258</v>
      </c>
      <c r="T88" s="30" t="str">
        <f t="shared" si="5"/>
        <v>Empeora</v>
      </c>
      <c r="U88" s="30" t="str">
        <f>Datos!O88</f>
        <v>intermedio</v>
      </c>
      <c r="V88" s="30" t="str">
        <f>Datos!Q88</f>
        <v>regular</v>
      </c>
    </row>
    <row r="89" ht="15.75" customHeight="1">
      <c r="A89" s="30">
        <f>Datos!A89</f>
        <v>93530305</v>
      </c>
      <c r="B89" s="30">
        <f>Datos!B89</f>
        <v>200</v>
      </c>
      <c r="C89" s="30">
        <f>Datos!C89</f>
        <v>50</v>
      </c>
      <c r="D89" s="30">
        <f>Datos!D89</f>
        <v>125</v>
      </c>
      <c r="E89" s="30">
        <f>(B89/600)*'PANEL DE CONTROL'!$C$7</f>
        <v>200</v>
      </c>
      <c r="F89" s="30">
        <f>(C89/150)*'PANEL DE CONTROL'!$C$8</f>
        <v>50</v>
      </c>
      <c r="G89" s="30">
        <f>(D89/250)*'PANEL DE CONTROL'!$C$9</f>
        <v>125</v>
      </c>
      <c r="H89" s="30">
        <f t="shared" si="1"/>
        <v>375</v>
      </c>
      <c r="I89" s="30">
        <f>IF(Datos!K89&gt;30,'PANEL DE CONTROL'!$D$14,0)+IF(Datos!M89&gt;80,'PANEL DE CONTROL'!$D$15,0)</f>
        <v>0</v>
      </c>
      <c r="J89" s="30">
        <f>IF(Datos!L89&lt;10,'PANEL DE CONTROL'!$D$16,0)+IF(Datos!N89&gt;24,'PANEL DE CONTROL'!$D$17,0)</f>
        <v>0</v>
      </c>
      <c r="K89" s="30">
        <f t="shared" si="2"/>
        <v>375</v>
      </c>
      <c r="L89" s="30">
        <f>Datos!G89</f>
        <v>659.85</v>
      </c>
      <c r="M89" s="30">
        <f>IF(Datos!O89="muy_nuevo",'PANEL DE CONTROL'!$C$22,IF(Datos!O89="nuevo",'PANEL DE CONTROL'!$C$23,IF(Datos!O89="intermedio",'PANEL DE CONTROL'!$C$24,IF(Datos!O89="establecido",'PANEL DE CONTROL'!$C$25,'PANEL DE CONTROL'!$C$26))))</f>
        <v>0.5</v>
      </c>
      <c r="N89" s="30">
        <f>IF(Datos!J89&gt;=20,0.1,IF(Datos!J89&lt;5,-0.1,0))</f>
        <v>0</v>
      </c>
      <c r="O89" s="30">
        <f t="shared" si="3"/>
        <v>0.5</v>
      </c>
      <c r="P89" s="30">
        <f t="shared" si="4"/>
        <v>517.425</v>
      </c>
      <c r="Q89" s="30" t="str">
        <f>IF(P89&gt;='PANEL DE CONTROL'!$B$30,"A+",IF(P89&gt;='PANEL DE CONTROL'!$B$31,"A",IF(P89&gt;='PANEL DE CONTROL'!$B$32,"A-",IF(P89&gt;='PANEL DE CONTROL'!$B$33,"B+",IF(P89&gt;='PANEL DE CONTROL'!$B$34,"B",IF(P89&gt;='PANEL DE CONTROL'!$B$35,"B-",IF(P89&gt;='PANEL DE CONTROL'!$B$36,"C+",IF(P89&gt;='PANEL DE CONTROL'!$B$37,"C",IF(P89&gt;='PANEL DE CONTROL'!$B$38,"C-",IF(P89&gt;='PANEL DE CONTROL'!$B$39,"D+",IF(P89&gt;='PANEL DE CONTROL'!$B$40,"D","F")))))))))))</f>
        <v>C-</v>
      </c>
      <c r="R89" s="30" t="str">
        <f>Datos!I89</f>
        <v>C-</v>
      </c>
      <c r="S89" s="30">
        <f>P89-Datos!H89</f>
        <v>-0.005</v>
      </c>
      <c r="T89" s="30" t="str">
        <f t="shared" si="5"/>
        <v>Igual</v>
      </c>
      <c r="U89" s="30" t="str">
        <f>Datos!O89</f>
        <v>intermedio</v>
      </c>
      <c r="V89" s="30" t="str">
        <f>Datos!Q89</f>
        <v>regular</v>
      </c>
    </row>
    <row r="90" ht="15.75" customHeight="1">
      <c r="A90" s="30">
        <f>Datos!A90</f>
        <v>90299166</v>
      </c>
      <c r="B90" s="30">
        <f>Datos!B90</f>
        <v>200</v>
      </c>
      <c r="C90" s="30">
        <f>Datos!C90</f>
        <v>100</v>
      </c>
      <c r="D90" s="30">
        <f>Datos!D90</f>
        <v>125</v>
      </c>
      <c r="E90" s="30">
        <f>(B90/600)*'PANEL DE CONTROL'!$C$7</f>
        <v>200</v>
      </c>
      <c r="F90" s="30">
        <f>(C90/150)*'PANEL DE CONTROL'!$C$8</f>
        <v>100</v>
      </c>
      <c r="G90" s="30">
        <f>(D90/250)*'PANEL DE CONTROL'!$C$9</f>
        <v>125</v>
      </c>
      <c r="H90" s="30">
        <f t="shared" si="1"/>
        <v>425</v>
      </c>
      <c r="I90" s="30">
        <f>IF(Datos!K90&gt;30,'PANEL DE CONTROL'!$D$14,0)+IF(Datos!M90&gt;80,'PANEL DE CONTROL'!$D$15,0)</f>
        <v>0</v>
      </c>
      <c r="J90" s="30">
        <f>IF(Datos!L90&lt;10,'PANEL DE CONTROL'!$D$16,0)+IF(Datos!N90&gt;24,'PANEL DE CONTROL'!$D$17,0)</f>
        <v>0</v>
      </c>
      <c r="K90" s="30">
        <f t="shared" si="2"/>
        <v>425</v>
      </c>
      <c r="L90" s="30">
        <f>Datos!G90</f>
        <v>651.95</v>
      </c>
      <c r="M90" s="30">
        <f>IF(Datos!O90="muy_nuevo",'PANEL DE CONTROL'!$C$22,IF(Datos!O90="nuevo",'PANEL DE CONTROL'!$C$23,IF(Datos!O90="intermedio",'PANEL DE CONTROL'!$C$24,IF(Datos!O90="establecido",'PANEL DE CONTROL'!$C$25,'PANEL DE CONTROL'!$C$26))))</f>
        <v>0.5</v>
      </c>
      <c r="N90" s="30">
        <f>IF(Datos!J90&gt;=20,0.1,IF(Datos!J90&lt;5,-0.1,0))</f>
        <v>0.1</v>
      </c>
      <c r="O90" s="30">
        <f t="shared" si="3"/>
        <v>0.6</v>
      </c>
      <c r="P90" s="30">
        <f t="shared" si="4"/>
        <v>515.78</v>
      </c>
      <c r="Q90" s="30" t="str">
        <f>IF(P90&gt;='PANEL DE CONTROL'!$B$30,"A+",IF(P90&gt;='PANEL DE CONTROL'!$B$31,"A",IF(P90&gt;='PANEL DE CONTROL'!$B$32,"A-",IF(P90&gt;='PANEL DE CONTROL'!$B$33,"B+",IF(P90&gt;='PANEL DE CONTROL'!$B$34,"B",IF(P90&gt;='PANEL DE CONTROL'!$B$35,"B-",IF(P90&gt;='PANEL DE CONTROL'!$B$36,"C+",IF(P90&gt;='PANEL DE CONTROL'!$B$37,"C",IF(P90&gt;='PANEL DE CONTROL'!$B$38,"C-",IF(P90&gt;='PANEL DE CONTROL'!$B$39,"D+",IF(P90&gt;='PANEL DE CONTROL'!$B$40,"D","F")))))))))))</f>
        <v>C-</v>
      </c>
      <c r="R90" s="30" t="str">
        <f>Datos!I90</f>
        <v>C-</v>
      </c>
      <c r="S90" s="30">
        <f>P90-Datos!H90</f>
        <v>-22.7</v>
      </c>
      <c r="T90" s="30" t="str">
        <f t="shared" si="5"/>
        <v>Empeora</v>
      </c>
      <c r="U90" s="30" t="str">
        <f>Datos!O90</f>
        <v>intermedio</v>
      </c>
      <c r="V90" s="30" t="str">
        <f>Datos!Q90</f>
        <v>regular</v>
      </c>
    </row>
    <row r="91" ht="15.75" customHeight="1">
      <c r="A91" s="30">
        <f>Datos!A91</f>
        <v>14096889</v>
      </c>
      <c r="B91" s="30">
        <f>Datos!B91</f>
        <v>300</v>
      </c>
      <c r="C91" s="30">
        <f>Datos!C91</f>
        <v>100</v>
      </c>
      <c r="D91" s="30">
        <f>Datos!D91</f>
        <v>75</v>
      </c>
      <c r="E91" s="30">
        <f>(B91/600)*'PANEL DE CONTROL'!$C$7</f>
        <v>300</v>
      </c>
      <c r="F91" s="30">
        <f>(C91/150)*'PANEL DE CONTROL'!$C$8</f>
        <v>100</v>
      </c>
      <c r="G91" s="30">
        <f>(D91/250)*'PANEL DE CONTROL'!$C$9</f>
        <v>75</v>
      </c>
      <c r="H91" s="30">
        <f t="shared" si="1"/>
        <v>475</v>
      </c>
      <c r="I91" s="30">
        <f>IF(Datos!K91&gt;30,'PANEL DE CONTROL'!$D$14,0)+IF(Datos!M91&gt;80,'PANEL DE CONTROL'!$D$15,0)</f>
        <v>0</v>
      </c>
      <c r="J91" s="30">
        <f>IF(Datos!L91&lt;10,'PANEL DE CONTROL'!$D$16,0)+IF(Datos!N91&gt;24,'PANEL DE CONTROL'!$D$17,0)</f>
        <v>0</v>
      </c>
      <c r="K91" s="30">
        <f t="shared" si="2"/>
        <v>475</v>
      </c>
      <c r="L91" s="30">
        <f>Datos!G91</f>
        <v>605.08</v>
      </c>
      <c r="M91" s="30">
        <f>IF(Datos!O91="muy_nuevo",'PANEL DE CONTROL'!$C$22,IF(Datos!O91="nuevo",'PANEL DE CONTROL'!$C$23,IF(Datos!O91="intermedio",'PANEL DE CONTROL'!$C$24,IF(Datos!O91="establecido",'PANEL DE CONTROL'!$C$25,'PANEL DE CONTROL'!$C$26))))</f>
        <v>0.5</v>
      </c>
      <c r="N91" s="30">
        <f>IF(Datos!J91&gt;=20,0.1,IF(Datos!J91&lt;5,-0.1,0))</f>
        <v>0.1</v>
      </c>
      <c r="O91" s="30">
        <f t="shared" si="3"/>
        <v>0.6</v>
      </c>
      <c r="P91" s="30">
        <f t="shared" si="4"/>
        <v>527.032</v>
      </c>
      <c r="Q91" s="30" t="str">
        <f>IF(P91&gt;='PANEL DE CONTROL'!$B$30,"A+",IF(P91&gt;='PANEL DE CONTROL'!$B$31,"A",IF(P91&gt;='PANEL DE CONTROL'!$B$32,"A-",IF(P91&gt;='PANEL DE CONTROL'!$B$33,"B+",IF(P91&gt;='PANEL DE CONTROL'!$B$34,"B",IF(P91&gt;='PANEL DE CONTROL'!$B$35,"B-",IF(P91&gt;='PANEL DE CONTROL'!$B$36,"C+",IF(P91&gt;='PANEL DE CONTROL'!$B$37,"C",IF(P91&gt;='PANEL DE CONTROL'!$B$38,"C-",IF(P91&gt;='PANEL DE CONTROL'!$B$39,"D+",IF(P91&gt;='PANEL DE CONTROL'!$B$40,"D","F")))))))))))</f>
        <v>C-</v>
      </c>
      <c r="R91" s="30" t="str">
        <f>Datos!I91</f>
        <v>C-</v>
      </c>
      <c r="S91" s="30">
        <f>P91-Datos!H91</f>
        <v>-13.008</v>
      </c>
      <c r="T91" s="30" t="str">
        <f t="shared" si="5"/>
        <v>Empeora</v>
      </c>
      <c r="U91" s="30" t="str">
        <f>Datos!O91</f>
        <v>intermedio</v>
      </c>
      <c r="V91" s="30" t="str">
        <f>Datos!Q91</f>
        <v>regular</v>
      </c>
    </row>
    <row r="92" ht="15.75" customHeight="1">
      <c r="A92" s="30">
        <f>Datos!A92</f>
        <v>66334331</v>
      </c>
      <c r="B92" s="30">
        <f>Datos!B92</f>
        <v>300</v>
      </c>
      <c r="C92" s="30">
        <f>Datos!C92</f>
        <v>100</v>
      </c>
      <c r="D92" s="30">
        <f>Datos!D92</f>
        <v>75</v>
      </c>
      <c r="E92" s="30">
        <f>(B92/600)*'PANEL DE CONTROL'!$C$7</f>
        <v>300</v>
      </c>
      <c r="F92" s="30">
        <f>(C92/150)*'PANEL DE CONTROL'!$C$8</f>
        <v>100</v>
      </c>
      <c r="G92" s="30">
        <f>(D92/250)*'PANEL DE CONTROL'!$C$9</f>
        <v>75</v>
      </c>
      <c r="H92" s="30">
        <f t="shared" si="1"/>
        <v>475</v>
      </c>
      <c r="I92" s="30">
        <f>IF(Datos!K92&gt;30,'PANEL DE CONTROL'!$D$14,0)+IF(Datos!M92&gt;80,'PANEL DE CONTROL'!$D$15,0)</f>
        <v>0</v>
      </c>
      <c r="J92" s="30">
        <f>IF(Datos!L92&lt;10,'PANEL DE CONTROL'!$D$16,0)+IF(Datos!N92&gt;24,'PANEL DE CONTROL'!$D$17,0)</f>
        <v>0</v>
      </c>
      <c r="K92" s="30">
        <f t="shared" si="2"/>
        <v>475</v>
      </c>
      <c r="L92" s="30">
        <f>Datos!G92</f>
        <v>683.6</v>
      </c>
      <c r="M92" s="30">
        <f>IF(Datos!O92="muy_nuevo",'PANEL DE CONTROL'!$C$22,IF(Datos!O92="nuevo",'PANEL DE CONTROL'!$C$23,IF(Datos!O92="intermedio",'PANEL DE CONTROL'!$C$24,IF(Datos!O92="establecido",'PANEL DE CONTROL'!$C$25,'PANEL DE CONTROL'!$C$26))))</f>
        <v>0.4</v>
      </c>
      <c r="N92" s="30">
        <f>IF(Datos!J92&gt;=20,0.1,IF(Datos!J92&lt;5,-0.1,0))</f>
        <v>0.1</v>
      </c>
      <c r="O92" s="30">
        <f t="shared" si="3"/>
        <v>0.5</v>
      </c>
      <c r="P92" s="30">
        <f t="shared" si="4"/>
        <v>579.3</v>
      </c>
      <c r="Q92" s="30" t="str">
        <f>IF(P92&gt;='PANEL DE CONTROL'!$B$30,"A+",IF(P92&gt;='PANEL DE CONTROL'!$B$31,"A",IF(P92&gt;='PANEL DE CONTROL'!$B$32,"A-",IF(P92&gt;='PANEL DE CONTROL'!$B$33,"B+",IF(P92&gt;='PANEL DE CONTROL'!$B$34,"B",IF(P92&gt;='PANEL DE CONTROL'!$B$35,"B-",IF(P92&gt;='PANEL DE CONTROL'!$B$36,"C+",IF(P92&gt;='PANEL DE CONTROL'!$B$37,"C",IF(P92&gt;='PANEL DE CONTROL'!$B$38,"C-",IF(P92&gt;='PANEL DE CONTROL'!$B$39,"D+",IF(P92&gt;='PANEL DE CONTROL'!$B$40,"D","F")))))))))))</f>
        <v>C</v>
      </c>
      <c r="R92" s="30" t="str">
        <f>Datos!I92</f>
        <v>C+</v>
      </c>
      <c r="S92" s="30">
        <f>P92-Datos!H92</f>
        <v>-20.86</v>
      </c>
      <c r="T92" s="30" t="str">
        <f t="shared" si="5"/>
        <v>Empeora</v>
      </c>
      <c r="U92" s="30" t="str">
        <f>Datos!O92</f>
        <v>nuevo</v>
      </c>
      <c r="V92" s="30" t="str">
        <f>Datos!Q92</f>
        <v>regular</v>
      </c>
    </row>
    <row r="93" ht="15.75" customHeight="1">
      <c r="A93" s="30">
        <f>Datos!A93</f>
        <v>66671990</v>
      </c>
      <c r="B93" s="30">
        <f>Datos!B93</f>
        <v>300</v>
      </c>
      <c r="C93" s="30">
        <f>Datos!C93</f>
        <v>100</v>
      </c>
      <c r="D93" s="30">
        <f>Datos!D93</f>
        <v>75</v>
      </c>
      <c r="E93" s="30">
        <f>(B93/600)*'PANEL DE CONTROL'!$C$7</f>
        <v>300</v>
      </c>
      <c r="F93" s="30">
        <f>(C93/150)*'PANEL DE CONTROL'!$C$8</f>
        <v>100</v>
      </c>
      <c r="G93" s="30">
        <f>(D93/250)*'PANEL DE CONTROL'!$C$9</f>
        <v>75</v>
      </c>
      <c r="H93" s="30">
        <f t="shared" si="1"/>
        <v>475</v>
      </c>
      <c r="I93" s="30">
        <f>IF(Datos!K93&gt;30,'PANEL DE CONTROL'!$D$14,0)+IF(Datos!M93&gt;80,'PANEL DE CONTROL'!$D$15,0)</f>
        <v>0</v>
      </c>
      <c r="J93" s="30">
        <f>IF(Datos!L93&lt;10,'PANEL DE CONTROL'!$D$16,0)+IF(Datos!N93&gt;24,'PANEL DE CONTROL'!$D$17,0)</f>
        <v>0</v>
      </c>
      <c r="K93" s="30">
        <f t="shared" si="2"/>
        <v>475</v>
      </c>
      <c r="L93" s="30">
        <f>Datos!G93</f>
        <v>628.6</v>
      </c>
      <c r="M93" s="30">
        <f>IF(Datos!O93="muy_nuevo",'PANEL DE CONTROL'!$C$22,IF(Datos!O93="nuevo",'PANEL DE CONTROL'!$C$23,IF(Datos!O93="intermedio",'PANEL DE CONTROL'!$C$24,IF(Datos!O93="establecido",'PANEL DE CONTROL'!$C$25,'PANEL DE CONTROL'!$C$26))))</f>
        <v>0.5</v>
      </c>
      <c r="N93" s="30">
        <f>IF(Datos!J93&gt;=20,0.1,IF(Datos!J93&lt;5,-0.1,0))</f>
        <v>0.1</v>
      </c>
      <c r="O93" s="30">
        <f t="shared" si="3"/>
        <v>0.6</v>
      </c>
      <c r="P93" s="30">
        <f t="shared" si="4"/>
        <v>536.44</v>
      </c>
      <c r="Q93" s="30" t="str">
        <f>IF(P93&gt;='PANEL DE CONTROL'!$B$30,"A+",IF(P93&gt;='PANEL DE CONTROL'!$B$31,"A",IF(P93&gt;='PANEL DE CONTROL'!$B$32,"A-",IF(P93&gt;='PANEL DE CONTROL'!$B$33,"B+",IF(P93&gt;='PANEL DE CONTROL'!$B$34,"B",IF(P93&gt;='PANEL DE CONTROL'!$B$35,"B-",IF(P93&gt;='PANEL DE CONTROL'!$B$36,"C+",IF(P93&gt;='PANEL DE CONTROL'!$B$37,"C",IF(P93&gt;='PANEL DE CONTROL'!$B$38,"C-",IF(P93&gt;='PANEL DE CONTROL'!$B$39,"D+",IF(P93&gt;='PANEL DE CONTROL'!$B$40,"D","F")))))))))))</f>
        <v>C-</v>
      </c>
      <c r="R93" s="30" t="str">
        <f>Datos!I93</f>
        <v>C</v>
      </c>
      <c r="S93" s="30">
        <f>P93-Datos!H93</f>
        <v>-15.36</v>
      </c>
      <c r="T93" s="30" t="str">
        <f t="shared" si="5"/>
        <v>Empeora</v>
      </c>
      <c r="U93" s="30" t="str">
        <f>Datos!O93</f>
        <v>intermedio</v>
      </c>
      <c r="V93" s="30" t="str">
        <f>Datos!Q93</f>
        <v>regular</v>
      </c>
    </row>
    <row r="94" ht="15.75" customHeight="1">
      <c r="A94" s="30">
        <f>Datos!A94</f>
        <v>51266690</v>
      </c>
      <c r="B94" s="30">
        <f>Datos!B94</f>
        <v>300</v>
      </c>
      <c r="C94" s="30">
        <f>Datos!C94</f>
        <v>100</v>
      </c>
      <c r="D94" s="30">
        <f>Datos!D94</f>
        <v>75</v>
      </c>
      <c r="E94" s="30">
        <f>(B94/600)*'PANEL DE CONTROL'!$C$7</f>
        <v>300</v>
      </c>
      <c r="F94" s="30">
        <f>(C94/150)*'PANEL DE CONTROL'!$C$8</f>
        <v>100</v>
      </c>
      <c r="G94" s="30">
        <f>(D94/250)*'PANEL DE CONTROL'!$C$9</f>
        <v>75</v>
      </c>
      <c r="H94" s="30">
        <f t="shared" si="1"/>
        <v>475</v>
      </c>
      <c r="I94" s="30">
        <f>IF(Datos!K94&gt;30,'PANEL DE CONTROL'!$D$14,0)+IF(Datos!M94&gt;80,'PANEL DE CONTROL'!$D$15,0)</f>
        <v>0</v>
      </c>
      <c r="J94" s="30">
        <f>IF(Datos!L94&lt;10,'PANEL DE CONTROL'!$D$16,0)+IF(Datos!N94&gt;24,'PANEL DE CONTROL'!$D$17,0)</f>
        <v>0</v>
      </c>
      <c r="K94" s="30">
        <f t="shared" si="2"/>
        <v>475</v>
      </c>
      <c r="L94" s="30">
        <f>Datos!G94</f>
        <v>660.11</v>
      </c>
      <c r="M94" s="30">
        <f>IF(Datos!O94="muy_nuevo",'PANEL DE CONTROL'!$C$22,IF(Datos!O94="nuevo",'PANEL DE CONTROL'!$C$23,IF(Datos!O94="intermedio",'PANEL DE CONTROL'!$C$24,IF(Datos!O94="establecido",'PANEL DE CONTROL'!$C$25,'PANEL DE CONTROL'!$C$26))))</f>
        <v>0.4</v>
      </c>
      <c r="N94" s="30">
        <f>IF(Datos!J94&gt;=20,0.1,IF(Datos!J94&lt;5,-0.1,0))</f>
        <v>0</v>
      </c>
      <c r="O94" s="30">
        <f t="shared" si="3"/>
        <v>0.4</v>
      </c>
      <c r="P94" s="30">
        <f t="shared" si="4"/>
        <v>586.066</v>
      </c>
      <c r="Q94" s="30" t="str">
        <f>IF(P94&gt;='PANEL DE CONTROL'!$B$30,"A+",IF(P94&gt;='PANEL DE CONTROL'!$B$31,"A",IF(P94&gt;='PANEL DE CONTROL'!$B$32,"A-",IF(P94&gt;='PANEL DE CONTROL'!$B$33,"B+",IF(P94&gt;='PANEL DE CONTROL'!$B$34,"B",IF(P94&gt;='PANEL DE CONTROL'!$B$35,"B-",IF(P94&gt;='PANEL DE CONTROL'!$B$36,"C+",IF(P94&gt;='PANEL DE CONTROL'!$B$37,"C",IF(P94&gt;='PANEL DE CONTROL'!$B$38,"C-",IF(P94&gt;='PANEL DE CONTROL'!$B$39,"D+",IF(P94&gt;='PANEL DE CONTROL'!$B$40,"D","F")))))))))))</f>
        <v>C</v>
      </c>
      <c r="R94" s="30" t="str">
        <f>Datos!I94</f>
        <v>C</v>
      </c>
      <c r="S94" s="30">
        <f>P94-Datos!H94</f>
        <v>-0.004</v>
      </c>
      <c r="T94" s="30" t="str">
        <f t="shared" si="5"/>
        <v>Igual</v>
      </c>
      <c r="U94" s="30" t="str">
        <f>Datos!O94</f>
        <v>nuevo</v>
      </c>
      <c r="V94" s="30" t="str">
        <f>Datos!Q94</f>
        <v>regular</v>
      </c>
    </row>
    <row r="95" ht="15.75" customHeight="1">
      <c r="A95" s="30">
        <f>Datos!A95</f>
        <v>52232130</v>
      </c>
      <c r="B95" s="30">
        <f>Datos!B95</f>
        <v>200</v>
      </c>
      <c r="C95" s="30">
        <f>Datos!C95</f>
        <v>150</v>
      </c>
      <c r="D95" s="30">
        <f>Datos!D95</f>
        <v>125</v>
      </c>
      <c r="E95" s="30">
        <f>(B95/600)*'PANEL DE CONTROL'!$C$7</f>
        <v>200</v>
      </c>
      <c r="F95" s="30">
        <f>(C95/150)*'PANEL DE CONTROL'!$C$8</f>
        <v>150</v>
      </c>
      <c r="G95" s="30">
        <f>(D95/250)*'PANEL DE CONTROL'!$C$9</f>
        <v>125</v>
      </c>
      <c r="H95" s="30">
        <f t="shared" si="1"/>
        <v>475</v>
      </c>
      <c r="I95" s="30">
        <f>IF(Datos!K95&gt;30,'PANEL DE CONTROL'!$D$14,0)+IF(Datos!M95&gt;80,'PANEL DE CONTROL'!$D$15,0)</f>
        <v>0</v>
      </c>
      <c r="J95" s="30">
        <f>IF(Datos!L95&lt;10,'PANEL DE CONTROL'!$D$16,0)+IF(Datos!N95&gt;24,'PANEL DE CONTROL'!$D$17,0)</f>
        <v>0</v>
      </c>
      <c r="K95" s="30">
        <f t="shared" si="2"/>
        <v>475</v>
      </c>
      <c r="L95" s="30">
        <f>Datos!G95</f>
        <v>603.81</v>
      </c>
      <c r="M95" s="30">
        <f>IF(Datos!O95="muy_nuevo",'PANEL DE CONTROL'!$C$22,IF(Datos!O95="nuevo",'PANEL DE CONTROL'!$C$23,IF(Datos!O95="intermedio",'PANEL DE CONTROL'!$C$24,IF(Datos!O95="establecido",'PANEL DE CONTROL'!$C$25,'PANEL DE CONTROL'!$C$26))))</f>
        <v>0.5</v>
      </c>
      <c r="N95" s="30">
        <f>IF(Datos!J95&gt;=20,0.1,IF(Datos!J95&lt;5,-0.1,0))</f>
        <v>0</v>
      </c>
      <c r="O95" s="30">
        <f t="shared" si="3"/>
        <v>0.5</v>
      </c>
      <c r="P95" s="30">
        <f t="shared" si="4"/>
        <v>539.405</v>
      </c>
      <c r="Q95" s="30" t="str">
        <f>IF(P95&gt;='PANEL DE CONTROL'!$B$30,"A+",IF(P95&gt;='PANEL DE CONTROL'!$B$31,"A",IF(P95&gt;='PANEL DE CONTROL'!$B$32,"A-",IF(P95&gt;='PANEL DE CONTROL'!$B$33,"B+",IF(P95&gt;='PANEL DE CONTROL'!$B$34,"B",IF(P95&gt;='PANEL DE CONTROL'!$B$35,"B-",IF(P95&gt;='PANEL DE CONTROL'!$B$36,"C+",IF(P95&gt;='PANEL DE CONTROL'!$B$37,"C",IF(P95&gt;='PANEL DE CONTROL'!$B$38,"C-",IF(P95&gt;='PANEL DE CONTROL'!$B$39,"D+",IF(P95&gt;='PANEL DE CONTROL'!$B$40,"D","F")))))))))))</f>
        <v>C-</v>
      </c>
      <c r="R95" s="30" t="str">
        <f>Datos!I95</f>
        <v>C-</v>
      </c>
      <c r="S95" s="30">
        <f>P95-Datos!H95</f>
        <v>0.005</v>
      </c>
      <c r="T95" s="30" t="str">
        <f t="shared" si="5"/>
        <v>Igual</v>
      </c>
      <c r="U95" s="30" t="str">
        <f>Datos!O95</f>
        <v>intermedio</v>
      </c>
      <c r="V95" s="30" t="str">
        <f>Datos!Q95</f>
        <v>regular</v>
      </c>
    </row>
    <row r="96" ht="15.75" customHeight="1">
      <c r="A96" s="30">
        <f>Datos!A96</f>
        <v>42634298</v>
      </c>
      <c r="B96" s="30">
        <f>Datos!B96</f>
        <v>300</v>
      </c>
      <c r="C96" s="30">
        <f>Datos!C96</f>
        <v>50</v>
      </c>
      <c r="D96" s="30">
        <f>Datos!D96</f>
        <v>75</v>
      </c>
      <c r="E96" s="30">
        <f>(B96/600)*'PANEL DE CONTROL'!$C$7</f>
        <v>300</v>
      </c>
      <c r="F96" s="30">
        <f>(C96/150)*'PANEL DE CONTROL'!$C$8</f>
        <v>50</v>
      </c>
      <c r="G96" s="30">
        <f>(D96/250)*'PANEL DE CONTROL'!$C$9</f>
        <v>75</v>
      </c>
      <c r="H96" s="30">
        <f t="shared" si="1"/>
        <v>425</v>
      </c>
      <c r="I96" s="30">
        <f>IF(Datos!K96&gt;30,'PANEL DE CONTROL'!$D$14,0)+IF(Datos!M96&gt;80,'PANEL DE CONTROL'!$D$15,0)</f>
        <v>0</v>
      </c>
      <c r="J96" s="30">
        <f>IF(Datos!L96&lt;10,'PANEL DE CONTROL'!$D$16,0)+IF(Datos!N96&gt;24,'PANEL DE CONTROL'!$D$17,0)</f>
        <v>0</v>
      </c>
      <c r="K96" s="30">
        <f t="shared" si="2"/>
        <v>425</v>
      </c>
      <c r="L96" s="30">
        <f>Datos!G96</f>
        <v>650.89</v>
      </c>
      <c r="M96" s="30">
        <f>IF(Datos!O96="muy_nuevo",'PANEL DE CONTROL'!$C$22,IF(Datos!O96="nuevo",'PANEL DE CONTROL'!$C$23,IF(Datos!O96="intermedio",'PANEL DE CONTROL'!$C$24,IF(Datos!O96="establecido",'PANEL DE CONTROL'!$C$25,'PANEL DE CONTROL'!$C$26))))</f>
        <v>0.4</v>
      </c>
      <c r="N96" s="30">
        <f>IF(Datos!J96&gt;=20,0.1,IF(Datos!J96&lt;5,-0.1,0))</f>
        <v>0.1</v>
      </c>
      <c r="O96" s="30">
        <f t="shared" si="3"/>
        <v>0.5</v>
      </c>
      <c r="P96" s="30">
        <f t="shared" si="4"/>
        <v>537.945</v>
      </c>
      <c r="Q96" s="30" t="str">
        <f>IF(P96&gt;='PANEL DE CONTROL'!$B$30,"A+",IF(P96&gt;='PANEL DE CONTROL'!$B$31,"A",IF(P96&gt;='PANEL DE CONTROL'!$B$32,"A-",IF(P96&gt;='PANEL DE CONTROL'!$B$33,"B+",IF(P96&gt;='PANEL DE CONTROL'!$B$34,"B",IF(P96&gt;='PANEL DE CONTROL'!$B$35,"B-",IF(P96&gt;='PANEL DE CONTROL'!$B$36,"C+",IF(P96&gt;='PANEL DE CONTROL'!$B$37,"C",IF(P96&gt;='PANEL DE CONTROL'!$B$38,"C-",IF(P96&gt;='PANEL DE CONTROL'!$B$39,"D+",IF(P96&gt;='PANEL DE CONTROL'!$B$40,"D","F")))))))))))</f>
        <v>C-</v>
      </c>
      <c r="R96" s="30" t="str">
        <f>Datos!I96</f>
        <v>C</v>
      </c>
      <c r="S96" s="30">
        <f>P96-Datos!H96</f>
        <v>-22.585</v>
      </c>
      <c r="T96" s="30" t="str">
        <f t="shared" si="5"/>
        <v>Empeora</v>
      </c>
      <c r="U96" s="30" t="str">
        <f>Datos!O96</f>
        <v>nuevo</v>
      </c>
      <c r="V96" s="30" t="str">
        <f>Datos!Q96</f>
        <v>regular</v>
      </c>
    </row>
    <row r="97" ht="15.75" customHeight="1">
      <c r="A97" s="30">
        <f>Datos!A97</f>
        <v>35489204</v>
      </c>
      <c r="B97" s="30">
        <f>Datos!B97</f>
        <v>300</v>
      </c>
      <c r="C97" s="30">
        <f>Datos!C97</f>
        <v>100</v>
      </c>
      <c r="D97" s="30">
        <f>Datos!D97</f>
        <v>125</v>
      </c>
      <c r="E97" s="30">
        <f>(B97/600)*'PANEL DE CONTROL'!$C$7</f>
        <v>300</v>
      </c>
      <c r="F97" s="30">
        <f>(C97/150)*'PANEL DE CONTROL'!$C$8</f>
        <v>100</v>
      </c>
      <c r="G97" s="30">
        <f>(D97/250)*'PANEL DE CONTROL'!$C$9</f>
        <v>125</v>
      </c>
      <c r="H97" s="30">
        <f t="shared" si="1"/>
        <v>525</v>
      </c>
      <c r="I97" s="30">
        <f>IF(Datos!K97&gt;30,'PANEL DE CONTROL'!$D$14,0)+IF(Datos!M97&gt;80,'PANEL DE CONTROL'!$D$15,0)</f>
        <v>0</v>
      </c>
      <c r="J97" s="30">
        <f>IF(Datos!L97&lt;10,'PANEL DE CONTROL'!$D$16,0)+IF(Datos!N97&gt;24,'PANEL DE CONTROL'!$D$17,0)</f>
        <v>0</v>
      </c>
      <c r="K97" s="30">
        <f t="shared" si="2"/>
        <v>525</v>
      </c>
      <c r="L97" s="30">
        <f>Datos!G97</f>
        <v>621.16</v>
      </c>
      <c r="M97" s="30">
        <f>IF(Datos!O97="muy_nuevo",'PANEL DE CONTROL'!$C$22,IF(Datos!O97="nuevo",'PANEL DE CONTROL'!$C$23,IF(Datos!O97="intermedio",'PANEL DE CONTROL'!$C$24,IF(Datos!O97="establecido",'PANEL DE CONTROL'!$C$25,'PANEL DE CONTROL'!$C$26))))</f>
        <v>0.4</v>
      </c>
      <c r="N97" s="30">
        <f>IF(Datos!J97&gt;=20,0.1,IF(Datos!J97&lt;5,-0.1,0))</f>
        <v>0.1</v>
      </c>
      <c r="O97" s="30">
        <f t="shared" si="3"/>
        <v>0.5</v>
      </c>
      <c r="P97" s="30">
        <f t="shared" si="4"/>
        <v>573.08</v>
      </c>
      <c r="Q97" s="30" t="str">
        <f>IF(P97&gt;='PANEL DE CONTROL'!$B$30,"A+",IF(P97&gt;='PANEL DE CONTROL'!$B$31,"A",IF(P97&gt;='PANEL DE CONTROL'!$B$32,"A-",IF(P97&gt;='PANEL DE CONTROL'!$B$33,"B+",IF(P97&gt;='PANEL DE CONTROL'!$B$34,"B",IF(P97&gt;='PANEL DE CONTROL'!$B$35,"B-",IF(P97&gt;='PANEL DE CONTROL'!$B$36,"C+",IF(P97&gt;='PANEL DE CONTROL'!$B$37,"C",IF(P97&gt;='PANEL DE CONTROL'!$B$38,"C-",IF(P97&gt;='PANEL DE CONTROL'!$B$39,"D+",IF(P97&gt;='PANEL DE CONTROL'!$B$40,"D","F")))))))))))</f>
        <v>C</v>
      </c>
      <c r="R97" s="30" t="str">
        <f>Datos!I97</f>
        <v>C</v>
      </c>
      <c r="S97" s="30">
        <f>P97-Datos!H97</f>
        <v>-9.62</v>
      </c>
      <c r="T97" s="30" t="str">
        <f t="shared" si="5"/>
        <v>Empeora</v>
      </c>
      <c r="U97" s="30" t="str">
        <f>Datos!O97</f>
        <v>nuevo</v>
      </c>
      <c r="V97" s="30" t="str">
        <f>Datos!Q97</f>
        <v>regular</v>
      </c>
    </row>
    <row r="98" ht="15.75" customHeight="1">
      <c r="A98" s="30">
        <f>Datos!A98</f>
        <v>88222722</v>
      </c>
      <c r="B98" s="30">
        <f>Datos!B98</f>
        <v>200</v>
      </c>
      <c r="C98" s="30">
        <f>Datos!C98</f>
        <v>50</v>
      </c>
      <c r="D98" s="30">
        <f>Datos!D98</f>
        <v>75</v>
      </c>
      <c r="E98" s="30">
        <f>(B98/600)*'PANEL DE CONTROL'!$C$7</f>
        <v>200</v>
      </c>
      <c r="F98" s="30">
        <f>(C98/150)*'PANEL DE CONTROL'!$C$8</f>
        <v>50</v>
      </c>
      <c r="G98" s="30">
        <f>(D98/250)*'PANEL DE CONTROL'!$C$9</f>
        <v>75</v>
      </c>
      <c r="H98" s="30">
        <f t="shared" si="1"/>
        <v>325</v>
      </c>
      <c r="I98" s="30">
        <f>IF(Datos!K98&gt;30,'PANEL DE CONTROL'!$D$14,0)+IF(Datos!M98&gt;80,'PANEL DE CONTROL'!$D$15,0)</f>
        <v>0</v>
      </c>
      <c r="J98" s="30">
        <f>IF(Datos!L98&lt;10,'PANEL DE CONTROL'!$D$16,0)+IF(Datos!N98&gt;24,'PANEL DE CONTROL'!$D$17,0)</f>
        <v>0</v>
      </c>
      <c r="K98" s="30">
        <f t="shared" si="2"/>
        <v>325</v>
      </c>
      <c r="L98" s="30">
        <f>Datos!G98</f>
        <v>733.9</v>
      </c>
      <c r="M98" s="30">
        <f>IF(Datos!O98="muy_nuevo",'PANEL DE CONTROL'!$C$22,IF(Datos!O98="nuevo",'PANEL DE CONTROL'!$C$23,IF(Datos!O98="intermedio",'PANEL DE CONTROL'!$C$24,IF(Datos!O98="establecido",'PANEL DE CONTROL'!$C$25,'PANEL DE CONTROL'!$C$26))))</f>
        <v>0.4</v>
      </c>
      <c r="N98" s="30">
        <f>IF(Datos!J98&gt;=20,0.1,IF(Datos!J98&lt;5,-0.1,0))</f>
        <v>0.1</v>
      </c>
      <c r="O98" s="30">
        <f t="shared" si="3"/>
        <v>0.5</v>
      </c>
      <c r="P98" s="30">
        <f t="shared" si="4"/>
        <v>529.45</v>
      </c>
      <c r="Q98" s="30" t="str">
        <f>IF(P98&gt;='PANEL DE CONTROL'!$B$30,"A+",IF(P98&gt;='PANEL DE CONTROL'!$B$31,"A",IF(P98&gt;='PANEL DE CONTROL'!$B$32,"A-",IF(P98&gt;='PANEL DE CONTROL'!$B$33,"B+",IF(P98&gt;='PANEL DE CONTROL'!$B$34,"B",IF(P98&gt;='PANEL DE CONTROL'!$B$35,"B-",IF(P98&gt;='PANEL DE CONTROL'!$B$36,"C+",IF(P98&gt;='PANEL DE CONTROL'!$B$37,"C",IF(P98&gt;='PANEL DE CONTROL'!$B$38,"C-",IF(P98&gt;='PANEL DE CONTROL'!$B$39,"D+",IF(P98&gt;='PANEL DE CONTROL'!$B$40,"D","F")))))))))))</f>
        <v>C-</v>
      </c>
      <c r="R98" s="30" t="str">
        <f>Datos!I98</f>
        <v>C</v>
      </c>
      <c r="S98" s="30">
        <f>P98-Datos!H98</f>
        <v>-40.89</v>
      </c>
      <c r="T98" s="30" t="str">
        <f t="shared" si="5"/>
        <v>Empeora</v>
      </c>
      <c r="U98" s="30" t="str">
        <f>Datos!O98</f>
        <v>nuevo</v>
      </c>
      <c r="V98" s="30" t="str">
        <f>Datos!Q98</f>
        <v>regular</v>
      </c>
    </row>
    <row r="99" ht="15.75" customHeight="1">
      <c r="A99" s="30">
        <f>Datos!A99</f>
        <v>67669968</v>
      </c>
      <c r="B99" s="30">
        <f>Datos!B99</f>
        <v>200</v>
      </c>
      <c r="C99" s="30">
        <f>Datos!C99</f>
        <v>150</v>
      </c>
      <c r="D99" s="30">
        <f>Datos!D99</f>
        <v>75</v>
      </c>
      <c r="E99" s="30">
        <f>(B99/600)*'PANEL DE CONTROL'!$C$7</f>
        <v>200</v>
      </c>
      <c r="F99" s="30">
        <f>(C99/150)*'PANEL DE CONTROL'!$C$8</f>
        <v>150</v>
      </c>
      <c r="G99" s="30">
        <f>(D99/250)*'PANEL DE CONTROL'!$C$9</f>
        <v>75</v>
      </c>
      <c r="H99" s="30">
        <f t="shared" si="1"/>
        <v>425</v>
      </c>
      <c r="I99" s="30">
        <f>IF(Datos!K99&gt;30,'PANEL DE CONTROL'!$D$14,0)+IF(Datos!M99&gt;80,'PANEL DE CONTROL'!$D$15,0)</f>
        <v>0</v>
      </c>
      <c r="J99" s="30">
        <f>IF(Datos!L99&lt;10,'PANEL DE CONTROL'!$D$16,0)+IF(Datos!N99&gt;24,'PANEL DE CONTROL'!$D$17,0)</f>
        <v>0</v>
      </c>
      <c r="K99" s="30">
        <f t="shared" si="2"/>
        <v>425</v>
      </c>
      <c r="L99" s="30">
        <f>Datos!G99</f>
        <v>654.41</v>
      </c>
      <c r="M99" s="30">
        <f>IF(Datos!O99="muy_nuevo",'PANEL DE CONTROL'!$C$22,IF(Datos!O99="nuevo",'PANEL DE CONTROL'!$C$23,IF(Datos!O99="intermedio",'PANEL DE CONTROL'!$C$24,IF(Datos!O99="establecido",'PANEL DE CONTROL'!$C$25,'PANEL DE CONTROL'!$C$26))))</f>
        <v>0.4</v>
      </c>
      <c r="N99" s="30">
        <f>IF(Datos!J99&gt;=20,0.1,IF(Datos!J99&lt;5,-0.1,0))</f>
        <v>0.1</v>
      </c>
      <c r="O99" s="30">
        <f t="shared" si="3"/>
        <v>0.5</v>
      </c>
      <c r="P99" s="30">
        <f t="shared" si="4"/>
        <v>539.705</v>
      </c>
      <c r="Q99" s="30" t="str">
        <f>IF(P99&gt;='PANEL DE CONTROL'!$B$30,"A+",IF(P99&gt;='PANEL DE CONTROL'!$B$31,"A",IF(P99&gt;='PANEL DE CONTROL'!$B$32,"A-",IF(P99&gt;='PANEL DE CONTROL'!$B$33,"B+",IF(P99&gt;='PANEL DE CONTROL'!$B$34,"B",IF(P99&gt;='PANEL DE CONTROL'!$B$35,"B-",IF(P99&gt;='PANEL DE CONTROL'!$B$36,"C+",IF(P99&gt;='PANEL DE CONTROL'!$B$37,"C",IF(P99&gt;='PANEL DE CONTROL'!$B$38,"C-",IF(P99&gt;='PANEL DE CONTROL'!$B$39,"D+",IF(P99&gt;='PANEL DE CONTROL'!$B$40,"D","F")))))))))))</f>
        <v>C-</v>
      </c>
      <c r="R99" s="30" t="str">
        <f>Datos!I99</f>
        <v>C</v>
      </c>
      <c r="S99" s="30">
        <f>P99-Datos!H99</f>
        <v>-22.945</v>
      </c>
      <c r="T99" s="30" t="str">
        <f t="shared" si="5"/>
        <v>Empeora</v>
      </c>
      <c r="U99" s="30" t="str">
        <f>Datos!O99</f>
        <v>nuevo</v>
      </c>
      <c r="V99" s="30" t="str">
        <f>Datos!Q99</f>
        <v>regular</v>
      </c>
    </row>
    <row r="100" ht="15.75" customHeight="1">
      <c r="A100" s="30">
        <f>Datos!A100</f>
        <v>14683173</v>
      </c>
      <c r="B100" s="30">
        <f>Datos!B100</f>
        <v>300</v>
      </c>
      <c r="C100" s="30">
        <f>Datos!C100</f>
        <v>100</v>
      </c>
      <c r="D100" s="30">
        <f>Datos!D100</f>
        <v>75</v>
      </c>
      <c r="E100" s="30">
        <f>(B100/600)*'PANEL DE CONTROL'!$C$7</f>
        <v>300</v>
      </c>
      <c r="F100" s="30">
        <f>(C100/150)*'PANEL DE CONTROL'!$C$8</f>
        <v>100</v>
      </c>
      <c r="G100" s="30">
        <f>(D100/250)*'PANEL DE CONTROL'!$C$9</f>
        <v>75</v>
      </c>
      <c r="H100" s="30">
        <f t="shared" si="1"/>
        <v>475</v>
      </c>
      <c r="I100" s="30">
        <f>IF(Datos!K100&gt;30,'PANEL DE CONTROL'!$D$14,0)+IF(Datos!M100&gt;80,'PANEL DE CONTROL'!$D$15,0)</f>
        <v>0</v>
      </c>
      <c r="J100" s="30">
        <f>IF(Datos!L100&lt;10,'PANEL DE CONTROL'!$D$16,0)+IF(Datos!N100&gt;24,'PANEL DE CONTROL'!$D$17,0)</f>
        <v>0</v>
      </c>
      <c r="K100" s="30">
        <f t="shared" si="2"/>
        <v>475</v>
      </c>
      <c r="L100" s="30">
        <f>Datos!G100</f>
        <v>672.72</v>
      </c>
      <c r="M100" s="30">
        <f>IF(Datos!O100="muy_nuevo",'PANEL DE CONTROL'!$C$22,IF(Datos!O100="nuevo",'PANEL DE CONTROL'!$C$23,IF(Datos!O100="intermedio",'PANEL DE CONTROL'!$C$24,IF(Datos!O100="establecido",'PANEL DE CONTROL'!$C$25,'PANEL DE CONTROL'!$C$26))))</f>
        <v>0.4</v>
      </c>
      <c r="N100" s="30">
        <f>IF(Datos!J100&gt;=20,0.1,IF(Datos!J100&lt;5,-0.1,0))</f>
        <v>0</v>
      </c>
      <c r="O100" s="30">
        <f t="shared" si="3"/>
        <v>0.4</v>
      </c>
      <c r="P100" s="30">
        <f t="shared" si="4"/>
        <v>593.632</v>
      </c>
      <c r="Q100" s="30" t="str">
        <f>IF(P100&gt;='PANEL DE CONTROL'!$B$30,"A+",IF(P100&gt;='PANEL DE CONTROL'!$B$31,"A",IF(P100&gt;='PANEL DE CONTROL'!$B$32,"A-",IF(P100&gt;='PANEL DE CONTROL'!$B$33,"B+",IF(P100&gt;='PANEL DE CONTROL'!$B$34,"B",IF(P100&gt;='PANEL DE CONTROL'!$B$35,"B-",IF(P100&gt;='PANEL DE CONTROL'!$B$36,"C+",IF(P100&gt;='PANEL DE CONTROL'!$B$37,"C",IF(P100&gt;='PANEL DE CONTROL'!$B$38,"C-",IF(P100&gt;='PANEL DE CONTROL'!$B$39,"D+",IF(P100&gt;='PANEL DE CONTROL'!$B$40,"D","F")))))))))))</f>
        <v>C</v>
      </c>
      <c r="R100" s="30" t="str">
        <f>Datos!I100</f>
        <v>C</v>
      </c>
      <c r="S100" s="30">
        <f>P100-Datos!H100</f>
        <v>0.002</v>
      </c>
      <c r="T100" s="30" t="str">
        <f t="shared" si="5"/>
        <v>Igual</v>
      </c>
      <c r="U100" s="30" t="str">
        <f>Datos!O100</f>
        <v>nuevo</v>
      </c>
      <c r="V100" s="30" t="str">
        <f>Datos!Q100</f>
        <v>regular</v>
      </c>
    </row>
    <row r="101" ht="15.75" customHeight="1">
      <c r="A101" s="30">
        <f>Datos!A101</f>
        <v>28625163</v>
      </c>
      <c r="B101" s="30">
        <f>Datos!B101</f>
        <v>300</v>
      </c>
      <c r="C101" s="30">
        <f>Datos!C101</f>
        <v>100</v>
      </c>
      <c r="D101" s="30">
        <f>Datos!D101</f>
        <v>75</v>
      </c>
      <c r="E101" s="30">
        <f>(B101/600)*'PANEL DE CONTROL'!$C$7</f>
        <v>300</v>
      </c>
      <c r="F101" s="30">
        <f>(C101/150)*'PANEL DE CONTROL'!$C$8</f>
        <v>100</v>
      </c>
      <c r="G101" s="30">
        <f>(D101/250)*'PANEL DE CONTROL'!$C$9</f>
        <v>75</v>
      </c>
      <c r="H101" s="30">
        <f t="shared" si="1"/>
        <v>475</v>
      </c>
      <c r="I101" s="30">
        <f>IF(Datos!K101&gt;30,'PANEL DE CONTROL'!$D$14,0)+IF(Datos!M101&gt;80,'PANEL DE CONTROL'!$D$15,0)</f>
        <v>0</v>
      </c>
      <c r="J101" s="30">
        <f>IF(Datos!L101&lt;10,'PANEL DE CONTROL'!$D$16,0)+IF(Datos!N101&gt;24,'PANEL DE CONTROL'!$D$17,0)</f>
        <v>0</v>
      </c>
      <c r="K101" s="30">
        <f t="shared" si="2"/>
        <v>475</v>
      </c>
      <c r="L101" s="30">
        <f>Datos!G101</f>
        <v>735.09</v>
      </c>
      <c r="M101" s="30">
        <f>IF(Datos!O101="muy_nuevo",'PANEL DE CONTROL'!$C$22,IF(Datos!O101="nuevo",'PANEL DE CONTROL'!$C$23,IF(Datos!O101="intermedio",'PANEL DE CONTROL'!$C$24,IF(Datos!O101="establecido",'PANEL DE CONTROL'!$C$25,'PANEL DE CONTROL'!$C$26))))</f>
        <v>0.4</v>
      </c>
      <c r="N101" s="30">
        <f>IF(Datos!J101&gt;=20,0.1,IF(Datos!J101&lt;5,-0.1,0))</f>
        <v>0.1</v>
      </c>
      <c r="O101" s="30">
        <f t="shared" si="3"/>
        <v>0.5</v>
      </c>
      <c r="P101" s="30">
        <f t="shared" si="4"/>
        <v>605.045</v>
      </c>
      <c r="Q101" s="30" t="str">
        <f>IF(P101&gt;='PANEL DE CONTROL'!$B$30,"A+",IF(P101&gt;='PANEL DE CONTROL'!$B$31,"A",IF(P101&gt;='PANEL DE CONTROL'!$B$32,"A-",IF(P101&gt;='PANEL DE CONTROL'!$B$33,"B+",IF(P101&gt;='PANEL DE CONTROL'!$B$34,"B",IF(P101&gt;='PANEL DE CONTROL'!$B$35,"B-",IF(P101&gt;='PANEL DE CONTROL'!$B$36,"C+",IF(P101&gt;='PANEL DE CONTROL'!$B$37,"C",IF(P101&gt;='PANEL DE CONTROL'!$B$38,"C-",IF(P101&gt;='PANEL DE CONTROL'!$B$39,"D+",IF(P101&gt;='PANEL DE CONTROL'!$B$40,"D","F")))))))))))</f>
        <v>C+</v>
      </c>
      <c r="R101" s="30" t="str">
        <f>Datos!I101</f>
        <v>C+</v>
      </c>
      <c r="S101" s="30">
        <f>P101-Datos!H101</f>
        <v>-26.005</v>
      </c>
      <c r="T101" s="30" t="str">
        <f t="shared" si="5"/>
        <v>Empeora</v>
      </c>
      <c r="U101" s="30" t="str">
        <f>Datos!O101</f>
        <v>nuevo</v>
      </c>
      <c r="V101" s="30" t="str">
        <f>Datos!Q101</f>
        <v>regular</v>
      </c>
    </row>
    <row r="102" ht="15.75" customHeight="1">
      <c r="A102" s="30">
        <f>Datos!A102</f>
        <v>91742575</v>
      </c>
      <c r="B102" s="30">
        <f>Datos!B102</f>
        <v>200</v>
      </c>
      <c r="C102" s="30">
        <f>Datos!C102</f>
        <v>150</v>
      </c>
      <c r="D102" s="30">
        <f>Datos!D102</f>
        <v>75</v>
      </c>
      <c r="E102" s="30">
        <f>(B102/600)*'PANEL DE CONTROL'!$C$7</f>
        <v>200</v>
      </c>
      <c r="F102" s="30">
        <f>(C102/150)*'PANEL DE CONTROL'!$C$8</f>
        <v>150</v>
      </c>
      <c r="G102" s="30">
        <f>(D102/250)*'PANEL DE CONTROL'!$C$9</f>
        <v>75</v>
      </c>
      <c r="H102" s="30">
        <f t="shared" si="1"/>
        <v>425</v>
      </c>
      <c r="I102" s="30">
        <f>IF(Datos!K102&gt;30,'PANEL DE CONTROL'!$D$14,0)+IF(Datos!M102&gt;80,'PANEL DE CONTROL'!$D$15,0)</f>
        <v>0</v>
      </c>
      <c r="J102" s="30">
        <f>IF(Datos!L102&lt;10,'PANEL DE CONTROL'!$D$16,0)+IF(Datos!N102&gt;24,'PANEL DE CONTROL'!$D$17,0)</f>
        <v>0</v>
      </c>
      <c r="K102" s="30">
        <f t="shared" si="2"/>
        <v>425</v>
      </c>
      <c r="L102" s="30">
        <f>Datos!G102</f>
        <v>674.62</v>
      </c>
      <c r="M102" s="30">
        <f>IF(Datos!O102="muy_nuevo",'PANEL DE CONTROL'!$C$22,IF(Datos!O102="nuevo",'PANEL DE CONTROL'!$C$23,IF(Datos!O102="intermedio",'PANEL DE CONTROL'!$C$24,IF(Datos!O102="establecido",'PANEL DE CONTROL'!$C$25,'PANEL DE CONTROL'!$C$26))))</f>
        <v>0.4</v>
      </c>
      <c r="N102" s="30">
        <f>IF(Datos!J102&gt;=20,0.1,IF(Datos!J102&lt;5,-0.1,0))</f>
        <v>0.1</v>
      </c>
      <c r="O102" s="30">
        <f t="shared" si="3"/>
        <v>0.5</v>
      </c>
      <c r="P102" s="30">
        <f t="shared" si="4"/>
        <v>549.81</v>
      </c>
      <c r="Q102" s="30" t="str">
        <f>IF(P102&gt;='PANEL DE CONTROL'!$B$30,"A+",IF(P102&gt;='PANEL DE CONTROL'!$B$31,"A",IF(P102&gt;='PANEL DE CONTROL'!$B$32,"A-",IF(P102&gt;='PANEL DE CONTROL'!$B$33,"B+",IF(P102&gt;='PANEL DE CONTROL'!$B$34,"B",IF(P102&gt;='PANEL DE CONTROL'!$B$35,"B-",IF(P102&gt;='PANEL DE CONTROL'!$B$36,"C+",IF(P102&gt;='PANEL DE CONTROL'!$B$37,"C",IF(P102&gt;='PANEL DE CONTROL'!$B$38,"C-",IF(P102&gt;='PANEL DE CONTROL'!$B$39,"D+",IF(P102&gt;='PANEL DE CONTROL'!$B$40,"D","F")))))))))))</f>
        <v>C-</v>
      </c>
      <c r="R102" s="30" t="str">
        <f>Datos!I102</f>
        <v>C</v>
      </c>
      <c r="S102" s="30">
        <f>P102-Datos!H102</f>
        <v>-24.96</v>
      </c>
      <c r="T102" s="30" t="str">
        <f t="shared" si="5"/>
        <v>Empeora</v>
      </c>
      <c r="U102" s="30" t="str">
        <f>Datos!O102</f>
        <v>nuevo</v>
      </c>
      <c r="V102" s="30" t="str">
        <f>Datos!Q102</f>
        <v>regular</v>
      </c>
    </row>
    <row r="103" ht="15.75" customHeight="1">
      <c r="A103" s="30">
        <f>Datos!A103</f>
        <v>45824569</v>
      </c>
      <c r="B103" s="30">
        <f>Datos!B103</f>
        <v>200</v>
      </c>
      <c r="C103" s="30">
        <f>Datos!C103</f>
        <v>50</v>
      </c>
      <c r="D103" s="30">
        <f>Datos!D103</f>
        <v>75</v>
      </c>
      <c r="E103" s="30">
        <f>(B103/600)*'PANEL DE CONTROL'!$C$7</f>
        <v>200</v>
      </c>
      <c r="F103" s="30">
        <f>(C103/150)*'PANEL DE CONTROL'!$C$8</f>
        <v>50</v>
      </c>
      <c r="G103" s="30">
        <f>(D103/250)*'PANEL DE CONTROL'!$C$9</f>
        <v>75</v>
      </c>
      <c r="H103" s="30">
        <f t="shared" si="1"/>
        <v>325</v>
      </c>
      <c r="I103" s="30">
        <f>IF(Datos!K103&gt;30,'PANEL DE CONTROL'!$D$14,0)+IF(Datos!M103&gt;80,'PANEL DE CONTROL'!$D$15,0)</f>
        <v>0</v>
      </c>
      <c r="J103" s="30">
        <f>IF(Datos!L103&lt;10,'PANEL DE CONTROL'!$D$16,0)+IF(Datos!N103&gt;24,'PANEL DE CONTROL'!$D$17,0)</f>
        <v>0</v>
      </c>
      <c r="K103" s="30">
        <f t="shared" si="2"/>
        <v>325</v>
      </c>
      <c r="L103" s="30">
        <f>Datos!G103</f>
        <v>626.31</v>
      </c>
      <c r="M103" s="30">
        <f>IF(Datos!O103="muy_nuevo",'PANEL DE CONTROL'!$C$22,IF(Datos!O103="nuevo",'PANEL DE CONTROL'!$C$23,IF(Datos!O103="intermedio",'PANEL DE CONTROL'!$C$24,IF(Datos!O103="establecido",'PANEL DE CONTROL'!$C$25,'PANEL DE CONTROL'!$C$26))))</f>
        <v>0.4</v>
      </c>
      <c r="N103" s="30">
        <f>IF(Datos!J103&gt;=20,0.1,IF(Datos!J103&lt;5,-0.1,0))</f>
        <v>0.1</v>
      </c>
      <c r="O103" s="30">
        <f t="shared" si="3"/>
        <v>0.5</v>
      </c>
      <c r="P103" s="30">
        <f t="shared" si="4"/>
        <v>475.655</v>
      </c>
      <c r="Q103" s="30" t="str">
        <f>IF(P103&gt;='PANEL DE CONTROL'!$B$30,"A+",IF(P103&gt;='PANEL DE CONTROL'!$B$31,"A",IF(P103&gt;='PANEL DE CONTROL'!$B$32,"A-",IF(P103&gt;='PANEL DE CONTROL'!$B$33,"B+",IF(P103&gt;='PANEL DE CONTROL'!$B$34,"B",IF(P103&gt;='PANEL DE CONTROL'!$B$35,"B-",IF(P103&gt;='PANEL DE CONTROL'!$B$36,"C+",IF(P103&gt;='PANEL DE CONTROL'!$B$37,"C",IF(P103&gt;='PANEL DE CONTROL'!$B$38,"C-",IF(P103&gt;='PANEL DE CONTROL'!$B$39,"D+",IF(P103&gt;='PANEL DE CONTROL'!$B$40,"D","F")))))))))))</f>
        <v>D+</v>
      </c>
      <c r="R103" s="30" t="str">
        <f>Datos!I103</f>
        <v>C-</v>
      </c>
      <c r="S103" s="30">
        <f>P103-Datos!H103</f>
        <v>-30.125</v>
      </c>
      <c r="T103" s="30" t="str">
        <f t="shared" si="5"/>
        <v>Empeora</v>
      </c>
      <c r="U103" s="30" t="str">
        <f>Datos!O103</f>
        <v>nuevo</v>
      </c>
      <c r="V103" s="30" t="str">
        <f>Datos!Q103</f>
        <v>regular</v>
      </c>
    </row>
    <row r="104" ht="15.75" customHeight="1">
      <c r="A104" s="30">
        <f>Datos!A104</f>
        <v>67562163</v>
      </c>
      <c r="B104" s="30">
        <f>Datos!B104</f>
        <v>300</v>
      </c>
      <c r="C104" s="30">
        <f>Datos!C104</f>
        <v>100</v>
      </c>
      <c r="D104" s="30">
        <f>Datos!D104</f>
        <v>75</v>
      </c>
      <c r="E104" s="30">
        <f>(B104/600)*'PANEL DE CONTROL'!$C$7</f>
        <v>300</v>
      </c>
      <c r="F104" s="30">
        <f>(C104/150)*'PANEL DE CONTROL'!$C$8</f>
        <v>100</v>
      </c>
      <c r="G104" s="30">
        <f>(D104/250)*'PANEL DE CONTROL'!$C$9</f>
        <v>75</v>
      </c>
      <c r="H104" s="30">
        <f t="shared" si="1"/>
        <v>475</v>
      </c>
      <c r="I104" s="30">
        <f>IF(Datos!K104&gt;30,'PANEL DE CONTROL'!$D$14,0)+IF(Datos!M104&gt;80,'PANEL DE CONTROL'!$D$15,0)</f>
        <v>0</v>
      </c>
      <c r="J104" s="30">
        <f>IF(Datos!L104&lt;10,'PANEL DE CONTROL'!$D$16,0)+IF(Datos!N104&gt;24,'PANEL DE CONTROL'!$D$17,0)</f>
        <v>0</v>
      </c>
      <c r="K104" s="30">
        <f t="shared" si="2"/>
        <v>475</v>
      </c>
      <c r="L104" s="30">
        <f>Datos!G104</f>
        <v>690.47</v>
      </c>
      <c r="M104" s="30">
        <f>IF(Datos!O104="muy_nuevo",'PANEL DE CONTROL'!$C$22,IF(Datos!O104="nuevo",'PANEL DE CONTROL'!$C$23,IF(Datos!O104="intermedio",'PANEL DE CONTROL'!$C$24,IF(Datos!O104="establecido",'PANEL DE CONTROL'!$C$25,'PANEL DE CONTROL'!$C$26))))</f>
        <v>0.5</v>
      </c>
      <c r="N104" s="30">
        <f>IF(Datos!J104&gt;=20,0.1,IF(Datos!J104&lt;5,-0.1,0))</f>
        <v>0.1</v>
      </c>
      <c r="O104" s="30">
        <f t="shared" si="3"/>
        <v>0.6</v>
      </c>
      <c r="P104" s="30">
        <f t="shared" si="4"/>
        <v>561.188</v>
      </c>
      <c r="Q104" s="30" t="str">
        <f>IF(P104&gt;='PANEL DE CONTROL'!$B$30,"A+",IF(P104&gt;='PANEL DE CONTROL'!$B$31,"A",IF(P104&gt;='PANEL DE CONTROL'!$B$32,"A-",IF(P104&gt;='PANEL DE CONTROL'!$B$33,"B+",IF(P104&gt;='PANEL DE CONTROL'!$B$34,"B",IF(P104&gt;='PANEL DE CONTROL'!$B$35,"B-",IF(P104&gt;='PANEL DE CONTROL'!$B$36,"C+",IF(P104&gt;='PANEL DE CONTROL'!$B$37,"C",IF(P104&gt;='PANEL DE CONTROL'!$B$38,"C-",IF(P104&gt;='PANEL DE CONTROL'!$B$39,"D+",IF(P104&gt;='PANEL DE CONTROL'!$B$40,"D","F")))))))))))</f>
        <v>C</v>
      </c>
      <c r="R104" s="30" t="str">
        <f>Datos!I104</f>
        <v>C</v>
      </c>
      <c r="S104" s="30">
        <f>P104-Datos!H104</f>
        <v>-21.552</v>
      </c>
      <c r="T104" s="30" t="str">
        <f t="shared" si="5"/>
        <v>Empeora</v>
      </c>
      <c r="U104" s="30" t="str">
        <f>Datos!O104</f>
        <v>intermedio</v>
      </c>
      <c r="V104" s="30" t="str">
        <f>Datos!Q104</f>
        <v>regular</v>
      </c>
    </row>
    <row r="105" ht="15.75" customHeight="1">
      <c r="A105" s="30">
        <f>Datos!A105</f>
        <v>83314118</v>
      </c>
      <c r="B105" s="30">
        <f>Datos!B105</f>
        <v>300</v>
      </c>
      <c r="C105" s="30">
        <f>Datos!C105</f>
        <v>100</v>
      </c>
      <c r="D105" s="30">
        <f>Datos!D105</f>
        <v>125</v>
      </c>
      <c r="E105" s="30">
        <f>(B105/600)*'PANEL DE CONTROL'!$C$7</f>
        <v>300</v>
      </c>
      <c r="F105" s="30">
        <f>(C105/150)*'PANEL DE CONTROL'!$C$8</f>
        <v>100</v>
      </c>
      <c r="G105" s="30">
        <f>(D105/250)*'PANEL DE CONTROL'!$C$9</f>
        <v>125</v>
      </c>
      <c r="H105" s="30">
        <f t="shared" si="1"/>
        <v>525</v>
      </c>
      <c r="I105" s="30">
        <f>IF(Datos!K105&gt;30,'PANEL DE CONTROL'!$D$14,0)+IF(Datos!M105&gt;80,'PANEL DE CONTROL'!$D$15,0)</f>
        <v>0</v>
      </c>
      <c r="J105" s="30">
        <f>IF(Datos!L105&lt;10,'PANEL DE CONTROL'!$D$16,0)+IF(Datos!N105&gt;24,'PANEL DE CONTROL'!$D$17,0)</f>
        <v>0</v>
      </c>
      <c r="K105" s="30">
        <f t="shared" si="2"/>
        <v>525</v>
      </c>
      <c r="L105" s="30">
        <f>Datos!G105</f>
        <v>699.55</v>
      </c>
      <c r="M105" s="30">
        <f>IF(Datos!O105="muy_nuevo",'PANEL DE CONTROL'!$C$22,IF(Datos!O105="nuevo",'PANEL DE CONTROL'!$C$23,IF(Datos!O105="intermedio",'PANEL DE CONTROL'!$C$24,IF(Datos!O105="establecido",'PANEL DE CONTROL'!$C$25,'PANEL DE CONTROL'!$C$26))))</f>
        <v>0.4</v>
      </c>
      <c r="N105" s="30">
        <f>IF(Datos!J105&gt;=20,0.1,IF(Datos!J105&lt;5,-0.1,0))</f>
        <v>0</v>
      </c>
      <c r="O105" s="30">
        <f t="shared" si="3"/>
        <v>0.4</v>
      </c>
      <c r="P105" s="30">
        <f t="shared" si="4"/>
        <v>629.73</v>
      </c>
      <c r="Q105" s="30" t="str">
        <f>IF(P105&gt;='PANEL DE CONTROL'!$B$30,"A+",IF(P105&gt;='PANEL DE CONTROL'!$B$31,"A",IF(P105&gt;='PANEL DE CONTROL'!$B$32,"A-",IF(P105&gt;='PANEL DE CONTROL'!$B$33,"B+",IF(P105&gt;='PANEL DE CONTROL'!$B$34,"B",IF(P105&gt;='PANEL DE CONTROL'!$B$35,"B-",IF(P105&gt;='PANEL DE CONTROL'!$B$36,"C+",IF(P105&gt;='PANEL DE CONTROL'!$B$37,"C",IF(P105&gt;='PANEL DE CONTROL'!$B$38,"C-",IF(P105&gt;='PANEL DE CONTROL'!$B$39,"D+",IF(P105&gt;='PANEL DE CONTROL'!$B$40,"D","F")))))))))))</f>
        <v>C+</v>
      </c>
      <c r="R105" s="30" t="str">
        <f>Datos!I105</f>
        <v>C+</v>
      </c>
      <c r="S105" s="30">
        <f>P105-Datos!H105</f>
        <v>0</v>
      </c>
      <c r="T105" s="30" t="str">
        <f t="shared" si="5"/>
        <v>Igual</v>
      </c>
      <c r="U105" s="30" t="str">
        <f>Datos!O105</f>
        <v>nuevo</v>
      </c>
      <c r="V105" s="30" t="str">
        <f>Datos!Q105</f>
        <v>regular</v>
      </c>
    </row>
    <row r="106" ht="15.75" customHeight="1">
      <c r="A106" s="30">
        <f>Datos!A106</f>
        <v>56057925</v>
      </c>
      <c r="B106" s="30">
        <f>Datos!B106</f>
        <v>300</v>
      </c>
      <c r="C106" s="30">
        <f>Datos!C106</f>
        <v>50</v>
      </c>
      <c r="D106" s="30">
        <f>Datos!D106</f>
        <v>125</v>
      </c>
      <c r="E106" s="30">
        <f>(B106/600)*'PANEL DE CONTROL'!$C$7</f>
        <v>300</v>
      </c>
      <c r="F106" s="30">
        <f>(C106/150)*'PANEL DE CONTROL'!$C$8</f>
        <v>50</v>
      </c>
      <c r="G106" s="30">
        <f>(D106/250)*'PANEL DE CONTROL'!$C$9</f>
        <v>125</v>
      </c>
      <c r="H106" s="30">
        <f t="shared" si="1"/>
        <v>475</v>
      </c>
      <c r="I106" s="30">
        <f>IF(Datos!K106&gt;30,'PANEL DE CONTROL'!$D$14,0)+IF(Datos!M106&gt;80,'PANEL DE CONTROL'!$D$15,0)</f>
        <v>0</v>
      </c>
      <c r="J106" s="30">
        <f>IF(Datos!L106&lt;10,'PANEL DE CONTROL'!$D$16,0)+IF(Datos!N106&gt;24,'PANEL DE CONTROL'!$D$17,0)</f>
        <v>0</v>
      </c>
      <c r="K106" s="30">
        <f t="shared" si="2"/>
        <v>475</v>
      </c>
      <c r="L106" s="30">
        <f>Datos!G106</f>
        <v>689.53</v>
      </c>
      <c r="M106" s="30">
        <f>IF(Datos!O106="muy_nuevo",'PANEL DE CONTROL'!$C$22,IF(Datos!O106="nuevo",'PANEL DE CONTROL'!$C$23,IF(Datos!O106="intermedio",'PANEL DE CONTROL'!$C$24,IF(Datos!O106="establecido",'PANEL DE CONTROL'!$C$25,'PANEL DE CONTROL'!$C$26))))</f>
        <v>0.5</v>
      </c>
      <c r="N106" s="30">
        <f>IF(Datos!J106&gt;=20,0.1,IF(Datos!J106&lt;5,-0.1,0))</f>
        <v>0.1</v>
      </c>
      <c r="O106" s="30">
        <f t="shared" si="3"/>
        <v>0.6</v>
      </c>
      <c r="P106" s="30">
        <f t="shared" si="4"/>
        <v>560.812</v>
      </c>
      <c r="Q106" s="30" t="str">
        <f>IF(P106&gt;='PANEL DE CONTROL'!$B$30,"A+",IF(P106&gt;='PANEL DE CONTROL'!$B$31,"A",IF(P106&gt;='PANEL DE CONTROL'!$B$32,"A-",IF(P106&gt;='PANEL DE CONTROL'!$B$33,"B+",IF(P106&gt;='PANEL DE CONTROL'!$B$34,"B",IF(P106&gt;='PANEL DE CONTROL'!$B$35,"B-",IF(P106&gt;='PANEL DE CONTROL'!$B$36,"C+",IF(P106&gt;='PANEL DE CONTROL'!$B$37,"C",IF(P106&gt;='PANEL DE CONTROL'!$B$38,"C-",IF(P106&gt;='PANEL DE CONTROL'!$B$39,"D+",IF(P106&gt;='PANEL DE CONTROL'!$B$40,"D","F")))))))))))</f>
        <v>C</v>
      </c>
      <c r="R106" s="30" t="str">
        <f>Datos!I106</f>
        <v>C</v>
      </c>
      <c r="S106" s="30">
        <f>P106-Datos!H106</f>
        <v>-21.448</v>
      </c>
      <c r="T106" s="30" t="str">
        <f t="shared" si="5"/>
        <v>Empeora</v>
      </c>
      <c r="U106" s="30" t="str">
        <f>Datos!O106</f>
        <v>intermedio</v>
      </c>
      <c r="V106" s="30" t="str">
        <f>Datos!Q106</f>
        <v>regular</v>
      </c>
    </row>
    <row r="107" ht="15.75" customHeight="1">
      <c r="A107" s="30">
        <f>Datos!A107</f>
        <v>20513236</v>
      </c>
      <c r="B107" s="30">
        <f>Datos!B107</f>
        <v>300</v>
      </c>
      <c r="C107" s="30">
        <f>Datos!C107</f>
        <v>100</v>
      </c>
      <c r="D107" s="30">
        <f>Datos!D107</f>
        <v>75</v>
      </c>
      <c r="E107" s="30">
        <f>(B107/600)*'PANEL DE CONTROL'!$C$7</f>
        <v>300</v>
      </c>
      <c r="F107" s="30">
        <f>(C107/150)*'PANEL DE CONTROL'!$C$8</f>
        <v>100</v>
      </c>
      <c r="G107" s="30">
        <f>(D107/250)*'PANEL DE CONTROL'!$C$9</f>
        <v>75</v>
      </c>
      <c r="H107" s="30">
        <f t="shared" si="1"/>
        <v>475</v>
      </c>
      <c r="I107" s="30">
        <f>IF(Datos!K107&gt;30,'PANEL DE CONTROL'!$D$14,0)+IF(Datos!M107&gt;80,'PANEL DE CONTROL'!$D$15,0)</f>
        <v>0</v>
      </c>
      <c r="J107" s="30">
        <f>IF(Datos!L107&lt;10,'PANEL DE CONTROL'!$D$16,0)+IF(Datos!N107&gt;24,'PANEL DE CONTROL'!$D$17,0)</f>
        <v>0</v>
      </c>
      <c r="K107" s="30">
        <f t="shared" si="2"/>
        <v>475</v>
      </c>
      <c r="L107" s="30">
        <f>Datos!G107</f>
        <v>636.96</v>
      </c>
      <c r="M107" s="30">
        <f>IF(Datos!O107="muy_nuevo",'PANEL DE CONTROL'!$C$22,IF(Datos!O107="nuevo",'PANEL DE CONTROL'!$C$23,IF(Datos!O107="intermedio",'PANEL DE CONTROL'!$C$24,IF(Datos!O107="establecido",'PANEL DE CONTROL'!$C$25,'PANEL DE CONTROL'!$C$26))))</f>
        <v>0.4</v>
      </c>
      <c r="N107" s="30">
        <f>IF(Datos!J107&gt;=20,0.1,IF(Datos!J107&lt;5,-0.1,0))</f>
        <v>0.1</v>
      </c>
      <c r="O107" s="30">
        <f t="shared" si="3"/>
        <v>0.5</v>
      </c>
      <c r="P107" s="30">
        <f t="shared" si="4"/>
        <v>555.98</v>
      </c>
      <c r="Q107" s="30" t="str">
        <f>IF(P107&gt;='PANEL DE CONTROL'!$B$30,"A+",IF(P107&gt;='PANEL DE CONTROL'!$B$31,"A",IF(P107&gt;='PANEL DE CONTROL'!$B$32,"A-",IF(P107&gt;='PANEL DE CONTROL'!$B$33,"B+",IF(P107&gt;='PANEL DE CONTROL'!$B$34,"B",IF(P107&gt;='PANEL DE CONTROL'!$B$35,"B-",IF(P107&gt;='PANEL DE CONTROL'!$B$36,"C+",IF(P107&gt;='PANEL DE CONTROL'!$B$37,"C",IF(P107&gt;='PANEL DE CONTROL'!$B$38,"C-",IF(P107&gt;='PANEL DE CONTROL'!$B$39,"D+",IF(P107&gt;='PANEL DE CONTROL'!$B$40,"D","F")))))))))))</f>
        <v>C</v>
      </c>
      <c r="R107" s="30" t="str">
        <f>Datos!I107</f>
        <v>C</v>
      </c>
      <c r="S107" s="30">
        <f>P107-Datos!H107</f>
        <v>-16.2</v>
      </c>
      <c r="T107" s="30" t="str">
        <f t="shared" si="5"/>
        <v>Empeora</v>
      </c>
      <c r="U107" s="30" t="str">
        <f>Datos!O107</f>
        <v>nuevo</v>
      </c>
      <c r="V107" s="30" t="str">
        <f>Datos!Q107</f>
        <v>regular</v>
      </c>
    </row>
    <row r="108" ht="15.75" customHeight="1">
      <c r="A108" s="30">
        <f>Datos!A108</f>
        <v>63898475</v>
      </c>
      <c r="B108" s="30">
        <f>Datos!B108</f>
        <v>200</v>
      </c>
      <c r="C108" s="30">
        <f>Datos!C108</f>
        <v>150</v>
      </c>
      <c r="D108" s="30">
        <f>Datos!D108</f>
        <v>75</v>
      </c>
      <c r="E108" s="30">
        <f>(B108/600)*'PANEL DE CONTROL'!$C$7</f>
        <v>200</v>
      </c>
      <c r="F108" s="30">
        <f>(C108/150)*'PANEL DE CONTROL'!$C$8</f>
        <v>150</v>
      </c>
      <c r="G108" s="30">
        <f>(D108/250)*'PANEL DE CONTROL'!$C$9</f>
        <v>75</v>
      </c>
      <c r="H108" s="30">
        <f t="shared" si="1"/>
        <v>425</v>
      </c>
      <c r="I108" s="30">
        <f>IF(Datos!K108&gt;30,'PANEL DE CONTROL'!$D$14,0)+IF(Datos!M108&gt;80,'PANEL DE CONTROL'!$D$15,0)</f>
        <v>0</v>
      </c>
      <c r="J108" s="30">
        <f>IF(Datos!L108&lt;10,'PANEL DE CONTROL'!$D$16,0)+IF(Datos!N108&gt;24,'PANEL DE CONTROL'!$D$17,0)</f>
        <v>0</v>
      </c>
      <c r="K108" s="30">
        <f t="shared" si="2"/>
        <v>425</v>
      </c>
      <c r="L108" s="30">
        <f>Datos!G108</f>
        <v>620.52</v>
      </c>
      <c r="M108" s="30">
        <f>IF(Datos!O108="muy_nuevo",'PANEL DE CONTROL'!$C$22,IF(Datos!O108="nuevo",'PANEL DE CONTROL'!$C$23,IF(Datos!O108="intermedio",'PANEL DE CONTROL'!$C$24,IF(Datos!O108="establecido",'PANEL DE CONTROL'!$C$25,'PANEL DE CONTROL'!$C$26))))</f>
        <v>0.4</v>
      </c>
      <c r="N108" s="30">
        <f>IF(Datos!J108&gt;=20,0.1,IF(Datos!J108&lt;5,-0.1,0))</f>
        <v>0</v>
      </c>
      <c r="O108" s="30">
        <f t="shared" si="3"/>
        <v>0.4</v>
      </c>
      <c r="P108" s="30">
        <f t="shared" si="4"/>
        <v>542.312</v>
      </c>
      <c r="Q108" s="30" t="str">
        <f>IF(P108&gt;='PANEL DE CONTROL'!$B$30,"A+",IF(P108&gt;='PANEL DE CONTROL'!$B$31,"A",IF(P108&gt;='PANEL DE CONTROL'!$B$32,"A-",IF(P108&gt;='PANEL DE CONTROL'!$B$33,"B+",IF(P108&gt;='PANEL DE CONTROL'!$B$34,"B",IF(P108&gt;='PANEL DE CONTROL'!$B$35,"B-",IF(P108&gt;='PANEL DE CONTROL'!$B$36,"C+",IF(P108&gt;='PANEL DE CONTROL'!$B$37,"C",IF(P108&gt;='PANEL DE CONTROL'!$B$38,"C-",IF(P108&gt;='PANEL DE CONTROL'!$B$39,"D+",IF(P108&gt;='PANEL DE CONTROL'!$B$40,"D","F")))))))))))</f>
        <v>C-</v>
      </c>
      <c r="R108" s="30" t="str">
        <f>Datos!I108</f>
        <v>C-</v>
      </c>
      <c r="S108" s="30">
        <f>P108-Datos!H108</f>
        <v>0.002</v>
      </c>
      <c r="T108" s="30" t="str">
        <f t="shared" si="5"/>
        <v>Igual</v>
      </c>
      <c r="U108" s="30" t="str">
        <f>Datos!O108</f>
        <v>nuevo</v>
      </c>
      <c r="V108" s="30" t="str">
        <f>Datos!Q108</f>
        <v>regular</v>
      </c>
    </row>
    <row r="109" ht="15.75" customHeight="1">
      <c r="A109" s="30">
        <f>Datos!A109</f>
        <v>37225723</v>
      </c>
      <c r="B109" s="30">
        <f>Datos!B109</f>
        <v>300</v>
      </c>
      <c r="C109" s="30">
        <f>Datos!C109</f>
        <v>150</v>
      </c>
      <c r="D109" s="30">
        <f>Datos!D109</f>
        <v>125</v>
      </c>
      <c r="E109" s="30">
        <f>(B109/600)*'PANEL DE CONTROL'!$C$7</f>
        <v>300</v>
      </c>
      <c r="F109" s="30">
        <f>(C109/150)*'PANEL DE CONTROL'!$C$8</f>
        <v>150</v>
      </c>
      <c r="G109" s="30">
        <f>(D109/250)*'PANEL DE CONTROL'!$C$9</f>
        <v>125</v>
      </c>
      <c r="H109" s="30">
        <f t="shared" si="1"/>
        <v>575</v>
      </c>
      <c r="I109" s="30">
        <f>IF(Datos!K109&gt;30,'PANEL DE CONTROL'!$D$14,0)+IF(Datos!M109&gt;80,'PANEL DE CONTROL'!$D$15,0)</f>
        <v>0</v>
      </c>
      <c r="J109" s="30">
        <f>IF(Datos!L109&lt;10,'PANEL DE CONTROL'!$D$16,0)+IF(Datos!N109&gt;24,'PANEL DE CONTROL'!$D$17,0)</f>
        <v>0</v>
      </c>
      <c r="K109" s="30">
        <f t="shared" si="2"/>
        <v>575</v>
      </c>
      <c r="L109" s="30">
        <f>Datos!G109</f>
        <v>747.09</v>
      </c>
      <c r="M109" s="30">
        <f>IF(Datos!O109="muy_nuevo",'PANEL DE CONTROL'!$C$22,IF(Datos!O109="nuevo",'PANEL DE CONTROL'!$C$23,IF(Datos!O109="intermedio",'PANEL DE CONTROL'!$C$24,IF(Datos!O109="establecido",'PANEL DE CONTROL'!$C$25,'PANEL DE CONTROL'!$C$26))))</f>
        <v>0.4</v>
      </c>
      <c r="N109" s="30">
        <f>IF(Datos!J109&gt;=20,0.1,IF(Datos!J109&lt;5,-0.1,0))</f>
        <v>0</v>
      </c>
      <c r="O109" s="30">
        <f t="shared" si="3"/>
        <v>0.4</v>
      </c>
      <c r="P109" s="30">
        <f t="shared" si="4"/>
        <v>678.254</v>
      </c>
      <c r="Q109" s="30" t="str">
        <f>IF(P109&gt;='PANEL DE CONTROL'!$B$30,"A+",IF(P109&gt;='PANEL DE CONTROL'!$B$31,"A",IF(P109&gt;='PANEL DE CONTROL'!$B$32,"A-",IF(P109&gt;='PANEL DE CONTROL'!$B$33,"B+",IF(P109&gt;='PANEL DE CONTROL'!$B$34,"B",IF(P109&gt;='PANEL DE CONTROL'!$B$35,"B-",IF(P109&gt;='PANEL DE CONTROL'!$B$36,"C+",IF(P109&gt;='PANEL DE CONTROL'!$B$37,"C",IF(P109&gt;='PANEL DE CONTROL'!$B$38,"C-",IF(P109&gt;='PANEL DE CONTROL'!$B$39,"D+",IF(P109&gt;='PANEL DE CONTROL'!$B$40,"D","F")))))))))))</f>
        <v>B-</v>
      </c>
      <c r="R109" s="30" t="str">
        <f>Datos!I109</f>
        <v>B-</v>
      </c>
      <c r="S109" s="30">
        <f>P109-Datos!H109</f>
        <v>0.004</v>
      </c>
      <c r="T109" s="30" t="str">
        <f t="shared" si="5"/>
        <v>Igual</v>
      </c>
      <c r="U109" s="30" t="str">
        <f>Datos!O109</f>
        <v>nuevo</v>
      </c>
      <c r="V109" s="30" t="str">
        <f>Datos!Q109</f>
        <v>regular</v>
      </c>
    </row>
    <row r="110" ht="15.75" customHeight="1">
      <c r="A110" s="30">
        <f>Datos!A110</f>
        <v>21604561</v>
      </c>
      <c r="B110" s="30">
        <f>Datos!B110</f>
        <v>200</v>
      </c>
      <c r="C110" s="30">
        <f>Datos!C110</f>
        <v>150</v>
      </c>
      <c r="D110" s="30">
        <f>Datos!D110</f>
        <v>125</v>
      </c>
      <c r="E110" s="30">
        <f>(B110/600)*'PANEL DE CONTROL'!$C$7</f>
        <v>200</v>
      </c>
      <c r="F110" s="30">
        <f>(C110/150)*'PANEL DE CONTROL'!$C$8</f>
        <v>150</v>
      </c>
      <c r="G110" s="30">
        <f>(D110/250)*'PANEL DE CONTROL'!$C$9</f>
        <v>125</v>
      </c>
      <c r="H110" s="30">
        <f t="shared" si="1"/>
        <v>475</v>
      </c>
      <c r="I110" s="30">
        <f>IF(Datos!K110&gt;30,'PANEL DE CONTROL'!$D$14,0)+IF(Datos!M110&gt;80,'PANEL DE CONTROL'!$D$15,0)</f>
        <v>0</v>
      </c>
      <c r="J110" s="30">
        <f>IF(Datos!L110&lt;10,'PANEL DE CONTROL'!$D$16,0)+IF(Datos!N110&gt;24,'PANEL DE CONTROL'!$D$17,0)</f>
        <v>0</v>
      </c>
      <c r="K110" s="30">
        <f t="shared" si="2"/>
        <v>475</v>
      </c>
      <c r="L110" s="30">
        <f>Datos!G110</f>
        <v>683.37</v>
      </c>
      <c r="M110" s="30">
        <f>IF(Datos!O110="muy_nuevo",'PANEL DE CONTROL'!$C$22,IF(Datos!O110="nuevo",'PANEL DE CONTROL'!$C$23,IF(Datos!O110="intermedio",'PANEL DE CONTROL'!$C$24,IF(Datos!O110="establecido",'PANEL DE CONTROL'!$C$25,'PANEL DE CONTROL'!$C$26))))</f>
        <v>0.4</v>
      </c>
      <c r="N110" s="30">
        <f>IF(Datos!J110&gt;=20,0.1,IF(Datos!J110&lt;5,-0.1,0))</f>
        <v>0</v>
      </c>
      <c r="O110" s="30">
        <f t="shared" si="3"/>
        <v>0.4</v>
      </c>
      <c r="P110" s="30">
        <f t="shared" si="4"/>
        <v>600.022</v>
      </c>
      <c r="Q110" s="30" t="str">
        <f>IF(P110&gt;='PANEL DE CONTROL'!$B$30,"A+",IF(P110&gt;='PANEL DE CONTROL'!$B$31,"A",IF(P110&gt;='PANEL DE CONTROL'!$B$32,"A-",IF(P110&gt;='PANEL DE CONTROL'!$B$33,"B+",IF(P110&gt;='PANEL DE CONTROL'!$B$34,"B",IF(P110&gt;='PANEL DE CONTROL'!$B$35,"B-",IF(P110&gt;='PANEL DE CONTROL'!$B$36,"C+",IF(P110&gt;='PANEL DE CONTROL'!$B$37,"C",IF(P110&gt;='PANEL DE CONTROL'!$B$38,"C-",IF(P110&gt;='PANEL DE CONTROL'!$B$39,"D+",IF(P110&gt;='PANEL DE CONTROL'!$B$40,"D","F")))))))))))</f>
        <v>C+</v>
      </c>
      <c r="R110" s="30" t="str">
        <f>Datos!I110</f>
        <v>C+</v>
      </c>
      <c r="S110" s="30">
        <f>P110-Datos!H110</f>
        <v>0.002</v>
      </c>
      <c r="T110" s="30" t="str">
        <f t="shared" si="5"/>
        <v>Igual</v>
      </c>
      <c r="U110" s="30" t="str">
        <f>Datos!O110</f>
        <v>nuevo</v>
      </c>
      <c r="V110" s="30" t="str">
        <f>Datos!Q110</f>
        <v>regular</v>
      </c>
    </row>
    <row r="111" ht="15.75" customHeight="1">
      <c r="A111" s="30">
        <f>Datos!A111</f>
        <v>19960199</v>
      </c>
      <c r="B111" s="30">
        <f>Datos!B111</f>
        <v>200</v>
      </c>
      <c r="C111" s="30">
        <f>Datos!C111</f>
        <v>100</v>
      </c>
      <c r="D111" s="30">
        <f>Datos!D111</f>
        <v>75</v>
      </c>
      <c r="E111" s="30">
        <f>(B111/600)*'PANEL DE CONTROL'!$C$7</f>
        <v>200</v>
      </c>
      <c r="F111" s="30">
        <f>(C111/150)*'PANEL DE CONTROL'!$C$8</f>
        <v>100</v>
      </c>
      <c r="G111" s="30">
        <f>(D111/250)*'PANEL DE CONTROL'!$C$9</f>
        <v>75</v>
      </c>
      <c r="H111" s="30">
        <f t="shared" si="1"/>
        <v>375</v>
      </c>
      <c r="I111" s="30">
        <f>IF(Datos!K111&gt;30,'PANEL DE CONTROL'!$D$14,0)+IF(Datos!M111&gt;80,'PANEL DE CONTROL'!$D$15,0)</f>
        <v>0</v>
      </c>
      <c r="J111" s="30">
        <f>IF(Datos!L111&lt;10,'PANEL DE CONTROL'!$D$16,0)+IF(Datos!N111&gt;24,'PANEL DE CONTROL'!$D$17,0)</f>
        <v>0</v>
      </c>
      <c r="K111" s="30">
        <f t="shared" si="2"/>
        <v>375</v>
      </c>
      <c r="L111" s="30">
        <f>Datos!G111</f>
        <v>711.76</v>
      </c>
      <c r="M111" s="30">
        <f>IF(Datos!O111="muy_nuevo",'PANEL DE CONTROL'!$C$22,IF(Datos!O111="nuevo",'PANEL DE CONTROL'!$C$23,IF(Datos!O111="intermedio",'PANEL DE CONTROL'!$C$24,IF(Datos!O111="establecido",'PANEL DE CONTROL'!$C$25,'PANEL DE CONTROL'!$C$26))))</f>
        <v>0.5</v>
      </c>
      <c r="N111" s="30">
        <f>IF(Datos!J111&gt;=20,0.1,IF(Datos!J111&lt;5,-0.1,0))</f>
        <v>0.1</v>
      </c>
      <c r="O111" s="30">
        <f t="shared" si="3"/>
        <v>0.6</v>
      </c>
      <c r="P111" s="30">
        <f t="shared" si="4"/>
        <v>509.704</v>
      </c>
      <c r="Q111" s="30" t="str">
        <f>IF(P111&gt;='PANEL DE CONTROL'!$B$30,"A+",IF(P111&gt;='PANEL DE CONTROL'!$B$31,"A",IF(P111&gt;='PANEL DE CONTROL'!$B$32,"A-",IF(P111&gt;='PANEL DE CONTROL'!$B$33,"B+",IF(P111&gt;='PANEL DE CONTROL'!$B$34,"B",IF(P111&gt;='PANEL DE CONTROL'!$B$35,"B-",IF(P111&gt;='PANEL DE CONTROL'!$B$36,"C+",IF(P111&gt;='PANEL DE CONTROL'!$B$37,"C",IF(P111&gt;='PANEL DE CONTROL'!$B$38,"C-",IF(P111&gt;='PANEL DE CONTROL'!$B$39,"D+",IF(P111&gt;='PANEL DE CONTROL'!$B$40,"D","F")))))))))))</f>
        <v>C-</v>
      </c>
      <c r="R111" s="30" t="str">
        <f>Datos!I111</f>
        <v>C-</v>
      </c>
      <c r="S111" s="30">
        <f>P111-Datos!H111</f>
        <v>-33.676</v>
      </c>
      <c r="T111" s="30" t="str">
        <f t="shared" si="5"/>
        <v>Empeora</v>
      </c>
      <c r="U111" s="30" t="str">
        <f>Datos!O111</f>
        <v>intermedio</v>
      </c>
      <c r="V111" s="30" t="str">
        <f>Datos!Q111</f>
        <v>regular</v>
      </c>
    </row>
    <row r="112" ht="15.75" customHeight="1">
      <c r="A112" s="30">
        <f>Datos!A112</f>
        <v>65312501</v>
      </c>
      <c r="B112" s="30">
        <f>Datos!B112</f>
        <v>200</v>
      </c>
      <c r="C112" s="30">
        <f>Datos!C112</f>
        <v>150</v>
      </c>
      <c r="D112" s="30">
        <f>Datos!D112</f>
        <v>75</v>
      </c>
      <c r="E112" s="30">
        <f>(B112/600)*'PANEL DE CONTROL'!$C$7</f>
        <v>200</v>
      </c>
      <c r="F112" s="30">
        <f>(C112/150)*'PANEL DE CONTROL'!$C$8</f>
        <v>150</v>
      </c>
      <c r="G112" s="30">
        <f>(D112/250)*'PANEL DE CONTROL'!$C$9</f>
        <v>75</v>
      </c>
      <c r="H112" s="30">
        <f t="shared" si="1"/>
        <v>425</v>
      </c>
      <c r="I112" s="30">
        <f>IF(Datos!K112&gt;30,'PANEL DE CONTROL'!$D$14,0)+IF(Datos!M112&gt;80,'PANEL DE CONTROL'!$D$15,0)</f>
        <v>0</v>
      </c>
      <c r="J112" s="30">
        <f>IF(Datos!L112&lt;10,'PANEL DE CONTROL'!$D$16,0)+IF(Datos!N112&gt;24,'PANEL DE CONTROL'!$D$17,0)</f>
        <v>0</v>
      </c>
      <c r="K112" s="30">
        <f t="shared" si="2"/>
        <v>425</v>
      </c>
      <c r="L112" s="30">
        <f>Datos!G112</f>
        <v>732.75</v>
      </c>
      <c r="M112" s="30">
        <f>IF(Datos!O112="muy_nuevo",'PANEL DE CONTROL'!$C$22,IF(Datos!O112="nuevo",'PANEL DE CONTROL'!$C$23,IF(Datos!O112="intermedio",'PANEL DE CONTROL'!$C$24,IF(Datos!O112="establecido",'PANEL DE CONTROL'!$C$25,'PANEL DE CONTROL'!$C$26))))</f>
        <v>0.4</v>
      </c>
      <c r="N112" s="30">
        <f>IF(Datos!J112&gt;=20,0.1,IF(Datos!J112&lt;5,-0.1,0))</f>
        <v>0.1</v>
      </c>
      <c r="O112" s="30">
        <f t="shared" si="3"/>
        <v>0.5</v>
      </c>
      <c r="P112" s="30">
        <f t="shared" si="4"/>
        <v>578.875</v>
      </c>
      <c r="Q112" s="30" t="str">
        <f>IF(P112&gt;='PANEL DE CONTROL'!$B$30,"A+",IF(P112&gt;='PANEL DE CONTROL'!$B$31,"A",IF(P112&gt;='PANEL DE CONTROL'!$B$32,"A-",IF(P112&gt;='PANEL DE CONTROL'!$B$33,"B+",IF(P112&gt;='PANEL DE CONTROL'!$B$34,"B",IF(P112&gt;='PANEL DE CONTROL'!$B$35,"B-",IF(P112&gt;='PANEL DE CONTROL'!$B$36,"C+",IF(P112&gt;='PANEL DE CONTROL'!$B$37,"C",IF(P112&gt;='PANEL DE CONTROL'!$B$38,"C-",IF(P112&gt;='PANEL DE CONTROL'!$B$39,"D+",IF(P112&gt;='PANEL DE CONTROL'!$B$40,"D","F")))))))))))</f>
        <v>C</v>
      </c>
      <c r="R112" s="30" t="str">
        <f>Datos!I112</f>
        <v>C+</v>
      </c>
      <c r="S112" s="30">
        <f>P112-Datos!H112</f>
        <v>-30.775</v>
      </c>
      <c r="T112" s="30" t="str">
        <f t="shared" si="5"/>
        <v>Empeora</v>
      </c>
      <c r="U112" s="30" t="str">
        <f>Datos!O112</f>
        <v>nuevo</v>
      </c>
      <c r="V112" s="30" t="str">
        <f>Datos!Q112</f>
        <v>regular</v>
      </c>
    </row>
    <row r="113" ht="15.75" customHeight="1">
      <c r="A113" s="30">
        <f>Datos!A113</f>
        <v>77597936</v>
      </c>
      <c r="B113" s="30">
        <f>Datos!B113</f>
        <v>300</v>
      </c>
      <c r="C113" s="30">
        <f>Datos!C113</f>
        <v>50</v>
      </c>
      <c r="D113" s="30">
        <f>Datos!D113</f>
        <v>75</v>
      </c>
      <c r="E113" s="30">
        <f>(B113/600)*'PANEL DE CONTROL'!$C$7</f>
        <v>300</v>
      </c>
      <c r="F113" s="30">
        <f>(C113/150)*'PANEL DE CONTROL'!$C$8</f>
        <v>50</v>
      </c>
      <c r="G113" s="30">
        <f>(D113/250)*'PANEL DE CONTROL'!$C$9</f>
        <v>75</v>
      </c>
      <c r="H113" s="30">
        <f t="shared" si="1"/>
        <v>425</v>
      </c>
      <c r="I113" s="30">
        <f>IF(Datos!K113&gt;30,'PANEL DE CONTROL'!$D$14,0)+IF(Datos!M113&gt;80,'PANEL DE CONTROL'!$D$15,0)</f>
        <v>0</v>
      </c>
      <c r="J113" s="30">
        <f>IF(Datos!L113&lt;10,'PANEL DE CONTROL'!$D$16,0)+IF(Datos!N113&gt;24,'PANEL DE CONTROL'!$D$17,0)</f>
        <v>0</v>
      </c>
      <c r="K113" s="30">
        <f t="shared" si="2"/>
        <v>425</v>
      </c>
      <c r="L113" s="30">
        <f>Datos!G113</f>
        <v>678.03</v>
      </c>
      <c r="M113" s="30">
        <f>IF(Datos!O113="muy_nuevo",'PANEL DE CONTROL'!$C$22,IF(Datos!O113="nuevo",'PANEL DE CONTROL'!$C$23,IF(Datos!O113="intermedio",'PANEL DE CONTROL'!$C$24,IF(Datos!O113="establecido",'PANEL DE CONTROL'!$C$25,'PANEL DE CONTROL'!$C$26))))</f>
        <v>0.4</v>
      </c>
      <c r="N113" s="30">
        <f>IF(Datos!J113&gt;=20,0.1,IF(Datos!J113&lt;5,-0.1,0))</f>
        <v>0.1</v>
      </c>
      <c r="O113" s="30">
        <f t="shared" si="3"/>
        <v>0.5</v>
      </c>
      <c r="P113" s="30">
        <f t="shared" si="4"/>
        <v>551.515</v>
      </c>
      <c r="Q113" s="30" t="str">
        <f>IF(P113&gt;='PANEL DE CONTROL'!$B$30,"A+",IF(P113&gt;='PANEL DE CONTROL'!$B$31,"A",IF(P113&gt;='PANEL DE CONTROL'!$B$32,"A-",IF(P113&gt;='PANEL DE CONTROL'!$B$33,"B+",IF(P113&gt;='PANEL DE CONTROL'!$B$34,"B",IF(P113&gt;='PANEL DE CONTROL'!$B$35,"B-",IF(P113&gt;='PANEL DE CONTROL'!$B$36,"C+",IF(P113&gt;='PANEL DE CONTROL'!$B$37,"C",IF(P113&gt;='PANEL DE CONTROL'!$B$38,"C-",IF(P113&gt;='PANEL DE CONTROL'!$B$39,"D+",IF(P113&gt;='PANEL DE CONTROL'!$B$40,"D","F")))))))))))</f>
        <v>C</v>
      </c>
      <c r="R113" s="30" t="str">
        <f>Datos!I113</f>
        <v>C</v>
      </c>
      <c r="S113" s="30">
        <f>P113-Datos!H113</f>
        <v>-25.305</v>
      </c>
      <c r="T113" s="30" t="str">
        <f t="shared" si="5"/>
        <v>Empeora</v>
      </c>
      <c r="U113" s="30" t="str">
        <f>Datos!O113</f>
        <v>nuevo</v>
      </c>
      <c r="V113" s="30" t="str">
        <f>Datos!Q113</f>
        <v>regular</v>
      </c>
    </row>
    <row r="114" ht="15.75" customHeight="1">
      <c r="A114" s="30">
        <f>Datos!A114</f>
        <v>57704628</v>
      </c>
      <c r="B114" s="30">
        <f>Datos!B114</f>
        <v>200</v>
      </c>
      <c r="C114" s="30">
        <f>Datos!C114</f>
        <v>50</v>
      </c>
      <c r="D114" s="30">
        <f>Datos!D114</f>
        <v>125</v>
      </c>
      <c r="E114" s="30">
        <f>(B114/600)*'PANEL DE CONTROL'!$C$7</f>
        <v>200</v>
      </c>
      <c r="F114" s="30">
        <f>(C114/150)*'PANEL DE CONTROL'!$C$8</f>
        <v>50</v>
      </c>
      <c r="G114" s="30">
        <f>(D114/250)*'PANEL DE CONTROL'!$C$9</f>
        <v>125</v>
      </c>
      <c r="H114" s="30">
        <f t="shared" si="1"/>
        <v>375</v>
      </c>
      <c r="I114" s="30">
        <f>IF(Datos!K114&gt;30,'PANEL DE CONTROL'!$D$14,0)+IF(Datos!M114&gt;80,'PANEL DE CONTROL'!$D$15,0)</f>
        <v>0</v>
      </c>
      <c r="J114" s="30">
        <f>IF(Datos!L114&lt;10,'PANEL DE CONTROL'!$D$16,0)+IF(Datos!N114&gt;24,'PANEL DE CONTROL'!$D$17,0)</f>
        <v>0</v>
      </c>
      <c r="K114" s="30">
        <f t="shared" si="2"/>
        <v>375</v>
      </c>
      <c r="L114" s="30">
        <f>Datos!G114</f>
        <v>610.5</v>
      </c>
      <c r="M114" s="30">
        <f>IF(Datos!O114="muy_nuevo",'PANEL DE CONTROL'!$C$22,IF(Datos!O114="nuevo",'PANEL DE CONTROL'!$C$23,IF(Datos!O114="intermedio",'PANEL DE CONTROL'!$C$24,IF(Datos!O114="establecido",'PANEL DE CONTROL'!$C$25,'PANEL DE CONTROL'!$C$26))))</f>
        <v>0.5</v>
      </c>
      <c r="N114" s="30">
        <f>IF(Datos!J114&gt;=20,0.1,IF(Datos!J114&lt;5,-0.1,0))</f>
        <v>0.1</v>
      </c>
      <c r="O114" s="30">
        <f t="shared" si="3"/>
        <v>0.6</v>
      </c>
      <c r="P114" s="30">
        <f t="shared" si="4"/>
        <v>469.2</v>
      </c>
      <c r="Q114" s="30" t="str">
        <f>IF(P114&gt;='PANEL DE CONTROL'!$B$30,"A+",IF(P114&gt;='PANEL DE CONTROL'!$B$31,"A",IF(P114&gt;='PANEL DE CONTROL'!$B$32,"A-",IF(P114&gt;='PANEL DE CONTROL'!$B$33,"B+",IF(P114&gt;='PANEL DE CONTROL'!$B$34,"B",IF(P114&gt;='PANEL DE CONTROL'!$B$35,"B-",IF(P114&gt;='PANEL DE CONTROL'!$B$36,"C+",IF(P114&gt;='PANEL DE CONTROL'!$B$37,"C",IF(P114&gt;='PANEL DE CONTROL'!$B$38,"C-",IF(P114&gt;='PANEL DE CONTROL'!$B$39,"D+",IF(P114&gt;='PANEL DE CONTROL'!$B$40,"D","F")))))))))))</f>
        <v>D+</v>
      </c>
      <c r="R114" s="30" t="str">
        <f>Datos!I114</f>
        <v>D</v>
      </c>
      <c r="S114" s="30">
        <f>P114-Datos!H114</f>
        <v>-23.55</v>
      </c>
      <c r="T114" s="30" t="str">
        <f t="shared" si="5"/>
        <v>Empeora</v>
      </c>
      <c r="U114" s="30" t="str">
        <f>Datos!O114</f>
        <v>intermedio</v>
      </c>
      <c r="V114" s="30" t="str">
        <f>Datos!Q114</f>
        <v>regular</v>
      </c>
    </row>
    <row r="115" ht="15.75" customHeight="1">
      <c r="A115" s="30">
        <f>Datos!A115</f>
        <v>90913935</v>
      </c>
      <c r="B115" s="30">
        <f>Datos!B115</f>
        <v>300</v>
      </c>
      <c r="C115" s="30">
        <f>Datos!C115</f>
        <v>100</v>
      </c>
      <c r="D115" s="30">
        <f>Datos!D115</f>
        <v>75</v>
      </c>
      <c r="E115" s="30">
        <f>(B115/600)*'PANEL DE CONTROL'!$C$7</f>
        <v>300</v>
      </c>
      <c r="F115" s="30">
        <f>(C115/150)*'PANEL DE CONTROL'!$C$8</f>
        <v>100</v>
      </c>
      <c r="G115" s="30">
        <f>(D115/250)*'PANEL DE CONTROL'!$C$9</f>
        <v>75</v>
      </c>
      <c r="H115" s="30">
        <f t="shared" si="1"/>
        <v>475</v>
      </c>
      <c r="I115" s="30">
        <f>IF(Datos!K115&gt;30,'PANEL DE CONTROL'!$D$14,0)+IF(Datos!M115&gt;80,'PANEL DE CONTROL'!$D$15,0)</f>
        <v>0</v>
      </c>
      <c r="J115" s="30">
        <f>IF(Datos!L115&lt;10,'PANEL DE CONTROL'!$D$16,0)+IF(Datos!N115&gt;24,'PANEL DE CONTROL'!$D$17,0)</f>
        <v>0</v>
      </c>
      <c r="K115" s="30">
        <f t="shared" si="2"/>
        <v>475</v>
      </c>
      <c r="L115" s="30">
        <f>Datos!G115</f>
        <v>613.75</v>
      </c>
      <c r="M115" s="30">
        <f>IF(Datos!O115="muy_nuevo",'PANEL DE CONTROL'!$C$22,IF(Datos!O115="nuevo",'PANEL DE CONTROL'!$C$23,IF(Datos!O115="intermedio",'PANEL DE CONTROL'!$C$24,IF(Datos!O115="establecido",'PANEL DE CONTROL'!$C$25,'PANEL DE CONTROL'!$C$26))))</f>
        <v>0.5</v>
      </c>
      <c r="N115" s="30">
        <f>IF(Datos!J115&gt;=20,0.1,IF(Datos!J115&lt;5,-0.1,0))</f>
        <v>0.1</v>
      </c>
      <c r="O115" s="30">
        <f t="shared" si="3"/>
        <v>0.6</v>
      </c>
      <c r="P115" s="30">
        <f t="shared" si="4"/>
        <v>530.5</v>
      </c>
      <c r="Q115" s="30" t="str">
        <f>IF(P115&gt;='PANEL DE CONTROL'!$B$30,"A+",IF(P115&gt;='PANEL DE CONTROL'!$B$31,"A",IF(P115&gt;='PANEL DE CONTROL'!$B$32,"A-",IF(P115&gt;='PANEL DE CONTROL'!$B$33,"B+",IF(P115&gt;='PANEL DE CONTROL'!$B$34,"B",IF(P115&gt;='PANEL DE CONTROL'!$B$35,"B-",IF(P115&gt;='PANEL DE CONTROL'!$B$36,"C+",IF(P115&gt;='PANEL DE CONTROL'!$B$37,"C",IF(P115&gt;='PANEL DE CONTROL'!$B$38,"C-",IF(P115&gt;='PANEL DE CONTROL'!$B$39,"D+",IF(P115&gt;='PANEL DE CONTROL'!$B$40,"D","F")))))))))))</f>
        <v>C-</v>
      </c>
      <c r="R115" s="30" t="str">
        <f>Datos!I115</f>
        <v>C-</v>
      </c>
      <c r="S115" s="30">
        <f>P115-Datos!H115</f>
        <v>-13.88</v>
      </c>
      <c r="T115" s="30" t="str">
        <f t="shared" si="5"/>
        <v>Empeora</v>
      </c>
      <c r="U115" s="30" t="str">
        <f>Datos!O115</f>
        <v>intermedio</v>
      </c>
      <c r="V115" s="30" t="str">
        <f>Datos!Q115</f>
        <v>regular</v>
      </c>
    </row>
    <row r="116" ht="15.75" customHeight="1">
      <c r="A116" s="30">
        <f>Datos!A116</f>
        <v>45409624</v>
      </c>
      <c r="B116" s="30">
        <f>Datos!B116</f>
        <v>300</v>
      </c>
      <c r="C116" s="30">
        <f>Datos!C116</f>
        <v>50</v>
      </c>
      <c r="D116" s="30">
        <f>Datos!D116</f>
        <v>75</v>
      </c>
      <c r="E116" s="30">
        <f>(B116/600)*'PANEL DE CONTROL'!$C$7</f>
        <v>300</v>
      </c>
      <c r="F116" s="30">
        <f>(C116/150)*'PANEL DE CONTROL'!$C$8</f>
        <v>50</v>
      </c>
      <c r="G116" s="30">
        <f>(D116/250)*'PANEL DE CONTROL'!$C$9</f>
        <v>75</v>
      </c>
      <c r="H116" s="30">
        <f t="shared" si="1"/>
        <v>425</v>
      </c>
      <c r="I116" s="30">
        <f>IF(Datos!K116&gt;30,'PANEL DE CONTROL'!$D$14,0)+IF(Datos!M116&gt;80,'PANEL DE CONTROL'!$D$15,0)</f>
        <v>0</v>
      </c>
      <c r="J116" s="30">
        <f>IF(Datos!L116&lt;10,'PANEL DE CONTROL'!$D$16,0)+IF(Datos!N116&gt;24,'PANEL DE CONTROL'!$D$17,0)</f>
        <v>0</v>
      </c>
      <c r="K116" s="30">
        <f t="shared" si="2"/>
        <v>425</v>
      </c>
      <c r="L116" s="30">
        <f>Datos!G116</f>
        <v>688.37</v>
      </c>
      <c r="M116" s="30">
        <f>IF(Datos!O116="muy_nuevo",'PANEL DE CONTROL'!$C$22,IF(Datos!O116="nuevo",'PANEL DE CONTROL'!$C$23,IF(Datos!O116="intermedio",'PANEL DE CONTROL'!$C$24,IF(Datos!O116="establecido",'PANEL DE CONTROL'!$C$25,'PANEL DE CONTROL'!$C$26))))</f>
        <v>0.5</v>
      </c>
      <c r="N116" s="30">
        <f>IF(Datos!J116&gt;=20,0.1,IF(Datos!J116&lt;5,-0.1,0))</f>
        <v>0</v>
      </c>
      <c r="O116" s="30">
        <f t="shared" si="3"/>
        <v>0.5</v>
      </c>
      <c r="P116" s="30">
        <f t="shared" si="4"/>
        <v>556.685</v>
      </c>
      <c r="Q116" s="30" t="str">
        <f>IF(P116&gt;='PANEL DE CONTROL'!$B$30,"A+",IF(P116&gt;='PANEL DE CONTROL'!$B$31,"A",IF(P116&gt;='PANEL DE CONTROL'!$B$32,"A-",IF(P116&gt;='PANEL DE CONTROL'!$B$33,"B+",IF(P116&gt;='PANEL DE CONTROL'!$B$34,"B",IF(P116&gt;='PANEL DE CONTROL'!$B$35,"B-",IF(P116&gt;='PANEL DE CONTROL'!$B$36,"C+",IF(P116&gt;='PANEL DE CONTROL'!$B$37,"C",IF(P116&gt;='PANEL DE CONTROL'!$B$38,"C-",IF(P116&gt;='PANEL DE CONTROL'!$B$39,"D+",IF(P116&gt;='PANEL DE CONTROL'!$B$40,"D","F")))))))))))</f>
        <v>C</v>
      </c>
      <c r="R116" s="30" t="str">
        <f>Datos!I116</f>
        <v>C</v>
      </c>
      <c r="S116" s="30">
        <f>P116-Datos!H116</f>
        <v>0.005</v>
      </c>
      <c r="T116" s="30" t="str">
        <f t="shared" si="5"/>
        <v>Igual</v>
      </c>
      <c r="U116" s="30" t="str">
        <f>Datos!O116</f>
        <v>intermedio</v>
      </c>
      <c r="V116" s="30" t="str">
        <f>Datos!Q116</f>
        <v>regular</v>
      </c>
    </row>
    <row r="117" ht="15.75" customHeight="1">
      <c r="A117" s="30">
        <f>Datos!A117</f>
        <v>94371503</v>
      </c>
      <c r="B117" s="30">
        <f>Datos!B117</f>
        <v>300</v>
      </c>
      <c r="C117" s="30">
        <f>Datos!C117</f>
        <v>100</v>
      </c>
      <c r="D117" s="30">
        <f>Datos!D117</f>
        <v>125</v>
      </c>
      <c r="E117" s="30">
        <f>(B117/600)*'PANEL DE CONTROL'!$C$7</f>
        <v>300</v>
      </c>
      <c r="F117" s="30">
        <f>(C117/150)*'PANEL DE CONTROL'!$C$8</f>
        <v>100</v>
      </c>
      <c r="G117" s="30">
        <f>(D117/250)*'PANEL DE CONTROL'!$C$9</f>
        <v>125</v>
      </c>
      <c r="H117" s="30">
        <f t="shared" si="1"/>
        <v>525</v>
      </c>
      <c r="I117" s="30">
        <f>IF(Datos!K117&gt;30,'PANEL DE CONTROL'!$D$14,0)+IF(Datos!M117&gt;80,'PANEL DE CONTROL'!$D$15,0)</f>
        <v>0</v>
      </c>
      <c r="J117" s="30">
        <f>IF(Datos!L117&lt;10,'PANEL DE CONTROL'!$D$16,0)+IF(Datos!N117&gt;24,'PANEL DE CONTROL'!$D$17,0)</f>
        <v>0</v>
      </c>
      <c r="K117" s="30">
        <f t="shared" si="2"/>
        <v>525</v>
      </c>
      <c r="L117" s="30">
        <f>Datos!G117</f>
        <v>688.28</v>
      </c>
      <c r="M117" s="30">
        <f>IF(Datos!O117="muy_nuevo",'PANEL DE CONTROL'!$C$22,IF(Datos!O117="nuevo",'PANEL DE CONTROL'!$C$23,IF(Datos!O117="intermedio",'PANEL DE CONTROL'!$C$24,IF(Datos!O117="establecido",'PANEL DE CONTROL'!$C$25,'PANEL DE CONTROL'!$C$26))))</f>
        <v>0.4</v>
      </c>
      <c r="N117" s="30">
        <f>IF(Datos!J117&gt;=20,0.1,IF(Datos!J117&lt;5,-0.1,0))</f>
        <v>0.1</v>
      </c>
      <c r="O117" s="30">
        <f t="shared" si="3"/>
        <v>0.5</v>
      </c>
      <c r="P117" s="30">
        <f t="shared" si="4"/>
        <v>606.64</v>
      </c>
      <c r="Q117" s="30" t="str">
        <f>IF(P117&gt;='PANEL DE CONTROL'!$B$30,"A+",IF(P117&gt;='PANEL DE CONTROL'!$B$31,"A",IF(P117&gt;='PANEL DE CONTROL'!$B$32,"A-",IF(P117&gt;='PANEL DE CONTROL'!$B$33,"B+",IF(P117&gt;='PANEL DE CONTROL'!$B$34,"B",IF(P117&gt;='PANEL DE CONTROL'!$B$35,"B-",IF(P117&gt;='PANEL DE CONTROL'!$B$36,"C+",IF(P117&gt;='PANEL DE CONTROL'!$B$37,"C",IF(P117&gt;='PANEL DE CONTROL'!$B$38,"C-",IF(P117&gt;='PANEL DE CONTROL'!$B$39,"D+",IF(P117&gt;='PANEL DE CONTROL'!$B$40,"D","F")))))))))))</f>
        <v>C+</v>
      </c>
      <c r="R117" s="30" t="str">
        <f>Datos!I117</f>
        <v>C+</v>
      </c>
      <c r="S117" s="30">
        <f>P117-Datos!H117</f>
        <v>-16.33</v>
      </c>
      <c r="T117" s="30" t="str">
        <f t="shared" si="5"/>
        <v>Empeora</v>
      </c>
      <c r="U117" s="30" t="str">
        <f>Datos!O117</f>
        <v>nuevo</v>
      </c>
      <c r="V117" s="30" t="str">
        <f>Datos!Q117</f>
        <v>regular</v>
      </c>
    </row>
    <row r="118" ht="15.75" customHeight="1">
      <c r="A118" s="30">
        <f>Datos!A118</f>
        <v>26008990</v>
      </c>
      <c r="B118" s="30">
        <f>Datos!B118</f>
        <v>300</v>
      </c>
      <c r="C118" s="30">
        <f>Datos!C118</f>
        <v>100</v>
      </c>
      <c r="D118" s="30">
        <f>Datos!D118</f>
        <v>75</v>
      </c>
      <c r="E118" s="30">
        <f>(B118/600)*'PANEL DE CONTROL'!$C$7</f>
        <v>300</v>
      </c>
      <c r="F118" s="30">
        <f>(C118/150)*'PANEL DE CONTROL'!$C$8</f>
        <v>100</v>
      </c>
      <c r="G118" s="30">
        <f>(D118/250)*'PANEL DE CONTROL'!$C$9</f>
        <v>75</v>
      </c>
      <c r="H118" s="30">
        <f t="shared" si="1"/>
        <v>475</v>
      </c>
      <c r="I118" s="30">
        <f>IF(Datos!K118&gt;30,'PANEL DE CONTROL'!$D$14,0)+IF(Datos!M118&gt;80,'PANEL DE CONTROL'!$D$15,0)</f>
        <v>0</v>
      </c>
      <c r="J118" s="30">
        <f>IF(Datos!L118&lt;10,'PANEL DE CONTROL'!$D$16,0)+IF(Datos!N118&gt;24,'PANEL DE CONTROL'!$D$17,0)</f>
        <v>0</v>
      </c>
      <c r="K118" s="30">
        <f t="shared" si="2"/>
        <v>475</v>
      </c>
      <c r="L118" s="30">
        <f>Datos!G118</f>
        <v>634.59</v>
      </c>
      <c r="M118" s="30">
        <f>IF(Datos!O118="muy_nuevo",'PANEL DE CONTROL'!$C$22,IF(Datos!O118="nuevo",'PANEL DE CONTROL'!$C$23,IF(Datos!O118="intermedio",'PANEL DE CONTROL'!$C$24,IF(Datos!O118="establecido",'PANEL DE CONTROL'!$C$25,'PANEL DE CONTROL'!$C$26))))</f>
        <v>0.4</v>
      </c>
      <c r="N118" s="30">
        <f>IF(Datos!J118&gt;=20,0.1,IF(Datos!J118&lt;5,-0.1,0))</f>
        <v>0</v>
      </c>
      <c r="O118" s="30">
        <f t="shared" si="3"/>
        <v>0.4</v>
      </c>
      <c r="P118" s="30">
        <f t="shared" si="4"/>
        <v>570.754</v>
      </c>
      <c r="Q118" s="30" t="str">
        <f>IF(P118&gt;='PANEL DE CONTROL'!$B$30,"A+",IF(P118&gt;='PANEL DE CONTROL'!$B$31,"A",IF(P118&gt;='PANEL DE CONTROL'!$B$32,"A-",IF(P118&gt;='PANEL DE CONTROL'!$B$33,"B+",IF(P118&gt;='PANEL DE CONTROL'!$B$34,"B",IF(P118&gt;='PANEL DE CONTROL'!$B$35,"B-",IF(P118&gt;='PANEL DE CONTROL'!$B$36,"C+",IF(P118&gt;='PANEL DE CONTROL'!$B$37,"C",IF(P118&gt;='PANEL DE CONTROL'!$B$38,"C-",IF(P118&gt;='PANEL DE CONTROL'!$B$39,"D+",IF(P118&gt;='PANEL DE CONTROL'!$B$40,"D","F")))))))))))</f>
        <v>C</v>
      </c>
      <c r="R118" s="30" t="str">
        <f>Datos!I118</f>
        <v>C</v>
      </c>
      <c r="S118" s="30">
        <f>P118-Datos!H118</f>
        <v>0.004</v>
      </c>
      <c r="T118" s="30" t="str">
        <f t="shared" si="5"/>
        <v>Igual</v>
      </c>
      <c r="U118" s="30" t="str">
        <f>Datos!O118</f>
        <v>nuevo</v>
      </c>
      <c r="V118" s="30" t="str">
        <f>Datos!Q118</f>
        <v>regular</v>
      </c>
    </row>
    <row r="119" ht="15.75" customHeight="1">
      <c r="A119" s="30">
        <f>Datos!A119</f>
        <v>37254433</v>
      </c>
      <c r="B119" s="30">
        <f>Datos!B119</f>
        <v>200</v>
      </c>
      <c r="C119" s="30">
        <f>Datos!C119</f>
        <v>100</v>
      </c>
      <c r="D119" s="30">
        <f>Datos!D119</f>
        <v>75</v>
      </c>
      <c r="E119" s="30">
        <f>(B119/600)*'PANEL DE CONTROL'!$C$7</f>
        <v>200</v>
      </c>
      <c r="F119" s="30">
        <f>(C119/150)*'PANEL DE CONTROL'!$C$8</f>
        <v>100</v>
      </c>
      <c r="G119" s="30">
        <f>(D119/250)*'PANEL DE CONTROL'!$C$9</f>
        <v>75</v>
      </c>
      <c r="H119" s="30">
        <f t="shared" si="1"/>
        <v>375</v>
      </c>
      <c r="I119" s="30">
        <f>IF(Datos!K119&gt;30,'PANEL DE CONTROL'!$D$14,0)+IF(Datos!M119&gt;80,'PANEL DE CONTROL'!$D$15,0)</f>
        <v>0</v>
      </c>
      <c r="J119" s="30">
        <f>IF(Datos!L119&lt;10,'PANEL DE CONTROL'!$D$16,0)+IF(Datos!N119&gt;24,'PANEL DE CONTROL'!$D$17,0)</f>
        <v>0</v>
      </c>
      <c r="K119" s="30">
        <f t="shared" si="2"/>
        <v>375</v>
      </c>
      <c r="L119" s="30">
        <f>Datos!G119</f>
        <v>745.37</v>
      </c>
      <c r="M119" s="30">
        <f>IF(Datos!O119="muy_nuevo",'PANEL DE CONTROL'!$C$22,IF(Datos!O119="nuevo",'PANEL DE CONTROL'!$C$23,IF(Datos!O119="intermedio",'PANEL DE CONTROL'!$C$24,IF(Datos!O119="establecido",'PANEL DE CONTROL'!$C$25,'PANEL DE CONTROL'!$C$26))))</f>
        <v>0.4</v>
      </c>
      <c r="N119" s="30">
        <f>IF(Datos!J119&gt;=20,0.1,IF(Datos!J119&lt;5,-0.1,0))</f>
        <v>0.1</v>
      </c>
      <c r="O119" s="30">
        <f t="shared" si="3"/>
        <v>0.5</v>
      </c>
      <c r="P119" s="30">
        <f t="shared" si="4"/>
        <v>560.185</v>
      </c>
      <c r="Q119" s="30" t="str">
        <f>IF(P119&gt;='PANEL DE CONTROL'!$B$30,"A+",IF(P119&gt;='PANEL DE CONTROL'!$B$31,"A",IF(P119&gt;='PANEL DE CONTROL'!$B$32,"A-",IF(P119&gt;='PANEL DE CONTROL'!$B$33,"B+",IF(P119&gt;='PANEL DE CONTROL'!$B$34,"B",IF(P119&gt;='PANEL DE CONTROL'!$B$35,"B-",IF(P119&gt;='PANEL DE CONTROL'!$B$36,"C+",IF(P119&gt;='PANEL DE CONTROL'!$B$37,"C",IF(P119&gt;='PANEL DE CONTROL'!$B$38,"C-",IF(P119&gt;='PANEL DE CONTROL'!$B$39,"D+",IF(P119&gt;='PANEL DE CONTROL'!$B$40,"D","F")))))))))))</f>
        <v>C</v>
      </c>
      <c r="R119" s="30" t="str">
        <f>Datos!I119</f>
        <v>C</v>
      </c>
      <c r="S119" s="30">
        <f>P119-Datos!H119</f>
        <v>-37.035</v>
      </c>
      <c r="T119" s="30" t="str">
        <f t="shared" si="5"/>
        <v>Empeora</v>
      </c>
      <c r="U119" s="30" t="str">
        <f>Datos!O119</f>
        <v>nuevo</v>
      </c>
      <c r="V119" s="30" t="str">
        <f>Datos!Q119</f>
        <v>regular</v>
      </c>
    </row>
    <row r="120" ht="15.75" customHeight="1">
      <c r="A120" s="30">
        <f>Datos!A120</f>
        <v>75136384</v>
      </c>
      <c r="B120" s="30">
        <f>Datos!B120</f>
        <v>300</v>
      </c>
      <c r="C120" s="30">
        <f>Datos!C120</f>
        <v>100</v>
      </c>
      <c r="D120" s="30">
        <f>Datos!D120</f>
        <v>75</v>
      </c>
      <c r="E120" s="30">
        <f>(B120/600)*'PANEL DE CONTROL'!$C$7</f>
        <v>300</v>
      </c>
      <c r="F120" s="30">
        <f>(C120/150)*'PANEL DE CONTROL'!$C$8</f>
        <v>100</v>
      </c>
      <c r="G120" s="30">
        <f>(D120/250)*'PANEL DE CONTROL'!$C$9</f>
        <v>75</v>
      </c>
      <c r="H120" s="30">
        <f t="shared" si="1"/>
        <v>475</v>
      </c>
      <c r="I120" s="30">
        <f>IF(Datos!K120&gt;30,'PANEL DE CONTROL'!$D$14,0)+IF(Datos!M120&gt;80,'PANEL DE CONTROL'!$D$15,0)</f>
        <v>0</v>
      </c>
      <c r="J120" s="30">
        <f>IF(Datos!L120&lt;10,'PANEL DE CONTROL'!$D$16,0)+IF(Datos!N120&gt;24,'PANEL DE CONTROL'!$D$17,0)</f>
        <v>0</v>
      </c>
      <c r="K120" s="30">
        <f t="shared" si="2"/>
        <v>475</v>
      </c>
      <c r="L120" s="30">
        <f>Datos!G120</f>
        <v>722.37</v>
      </c>
      <c r="M120" s="30">
        <f>IF(Datos!O120="muy_nuevo",'PANEL DE CONTROL'!$C$22,IF(Datos!O120="nuevo",'PANEL DE CONTROL'!$C$23,IF(Datos!O120="intermedio",'PANEL DE CONTROL'!$C$24,IF(Datos!O120="establecido",'PANEL DE CONTROL'!$C$25,'PANEL DE CONTROL'!$C$26))))</f>
        <v>0.5</v>
      </c>
      <c r="N120" s="30">
        <f>IF(Datos!J120&gt;=20,0.1,IF(Datos!J120&lt;5,-0.1,0))</f>
        <v>0.1</v>
      </c>
      <c r="O120" s="30">
        <f t="shared" si="3"/>
        <v>0.6</v>
      </c>
      <c r="P120" s="30">
        <f t="shared" si="4"/>
        <v>573.948</v>
      </c>
      <c r="Q120" s="30" t="str">
        <f>IF(P120&gt;='PANEL DE CONTROL'!$B$30,"A+",IF(P120&gt;='PANEL DE CONTROL'!$B$31,"A",IF(P120&gt;='PANEL DE CONTROL'!$B$32,"A-",IF(P120&gt;='PANEL DE CONTROL'!$B$33,"B+",IF(P120&gt;='PANEL DE CONTROL'!$B$34,"B",IF(P120&gt;='PANEL DE CONTROL'!$B$35,"B-",IF(P120&gt;='PANEL DE CONTROL'!$B$36,"C+",IF(P120&gt;='PANEL DE CONTROL'!$B$37,"C",IF(P120&gt;='PANEL DE CONTROL'!$B$38,"C-",IF(P120&gt;='PANEL DE CONTROL'!$B$39,"D+",IF(P120&gt;='PANEL DE CONTROL'!$B$40,"D","F")))))))))))</f>
        <v>C</v>
      </c>
      <c r="R120" s="30" t="str">
        <f>Datos!I120</f>
        <v>C</v>
      </c>
      <c r="S120" s="30">
        <f>P120-Datos!H120</f>
        <v>-24.742</v>
      </c>
      <c r="T120" s="30" t="str">
        <f t="shared" si="5"/>
        <v>Empeora</v>
      </c>
      <c r="U120" s="30" t="str">
        <f>Datos!O120</f>
        <v>intermedio</v>
      </c>
      <c r="V120" s="30" t="str">
        <f>Datos!Q120</f>
        <v>regular</v>
      </c>
    </row>
    <row r="121" ht="15.75" customHeight="1">
      <c r="A121" s="30">
        <f>Datos!A121</f>
        <v>89061881</v>
      </c>
      <c r="B121" s="30">
        <f>Datos!B121</f>
        <v>300</v>
      </c>
      <c r="C121" s="30">
        <f>Datos!C121</f>
        <v>100</v>
      </c>
      <c r="D121" s="30">
        <f>Datos!D121</f>
        <v>75</v>
      </c>
      <c r="E121" s="30">
        <f>(B121/600)*'PANEL DE CONTROL'!$C$7</f>
        <v>300</v>
      </c>
      <c r="F121" s="30">
        <f>(C121/150)*'PANEL DE CONTROL'!$C$8</f>
        <v>100</v>
      </c>
      <c r="G121" s="30">
        <f>(D121/250)*'PANEL DE CONTROL'!$C$9</f>
        <v>75</v>
      </c>
      <c r="H121" s="30">
        <f t="shared" si="1"/>
        <v>475</v>
      </c>
      <c r="I121" s="30">
        <f>IF(Datos!K121&gt;30,'PANEL DE CONTROL'!$D$14,0)+IF(Datos!M121&gt;80,'PANEL DE CONTROL'!$D$15,0)</f>
        <v>0</v>
      </c>
      <c r="J121" s="30">
        <f>IF(Datos!L121&lt;10,'PANEL DE CONTROL'!$D$16,0)+IF(Datos!N121&gt;24,'PANEL DE CONTROL'!$D$17,0)</f>
        <v>0</v>
      </c>
      <c r="K121" s="30">
        <f t="shared" si="2"/>
        <v>475</v>
      </c>
      <c r="L121" s="30">
        <f>Datos!G121</f>
        <v>606.66</v>
      </c>
      <c r="M121" s="30">
        <f>IF(Datos!O121="muy_nuevo",'PANEL DE CONTROL'!$C$22,IF(Datos!O121="nuevo",'PANEL DE CONTROL'!$C$23,IF(Datos!O121="intermedio",'PANEL DE CONTROL'!$C$24,IF(Datos!O121="establecido",'PANEL DE CONTROL'!$C$25,'PANEL DE CONTROL'!$C$26))))</f>
        <v>0.4</v>
      </c>
      <c r="N121" s="30">
        <f>IF(Datos!J121&gt;=20,0.1,IF(Datos!J121&lt;5,-0.1,0))</f>
        <v>0.1</v>
      </c>
      <c r="O121" s="30">
        <f t="shared" si="3"/>
        <v>0.5</v>
      </c>
      <c r="P121" s="30">
        <f t="shared" si="4"/>
        <v>540.83</v>
      </c>
      <c r="Q121" s="30" t="str">
        <f>IF(P121&gt;='PANEL DE CONTROL'!$B$30,"A+",IF(P121&gt;='PANEL DE CONTROL'!$B$31,"A",IF(P121&gt;='PANEL DE CONTROL'!$B$32,"A-",IF(P121&gt;='PANEL DE CONTROL'!$B$33,"B+",IF(P121&gt;='PANEL DE CONTROL'!$B$34,"B",IF(P121&gt;='PANEL DE CONTROL'!$B$35,"B-",IF(P121&gt;='PANEL DE CONTROL'!$B$36,"C+",IF(P121&gt;='PANEL DE CONTROL'!$B$37,"C",IF(P121&gt;='PANEL DE CONTROL'!$B$38,"C-",IF(P121&gt;='PANEL DE CONTROL'!$B$39,"D+",IF(P121&gt;='PANEL DE CONTROL'!$B$40,"D","F")))))))))))</f>
        <v>C-</v>
      </c>
      <c r="R121" s="30" t="str">
        <f>Datos!I121</f>
        <v>C</v>
      </c>
      <c r="S121" s="30">
        <f>P121-Datos!H121</f>
        <v>-13.16</v>
      </c>
      <c r="T121" s="30" t="str">
        <f t="shared" si="5"/>
        <v>Empeora</v>
      </c>
      <c r="U121" s="30" t="str">
        <f>Datos!O121</f>
        <v>nuevo</v>
      </c>
      <c r="V121" s="30" t="str">
        <f>Datos!Q121</f>
        <v>regular</v>
      </c>
    </row>
    <row r="122" ht="15.75" customHeight="1">
      <c r="A122" s="30">
        <f>Datos!A122</f>
        <v>64580314</v>
      </c>
      <c r="B122" s="30">
        <f>Datos!B122</f>
        <v>300</v>
      </c>
      <c r="C122" s="30">
        <f>Datos!C122</f>
        <v>100</v>
      </c>
      <c r="D122" s="30">
        <f>Datos!D122</f>
        <v>125</v>
      </c>
      <c r="E122" s="30">
        <f>(B122/600)*'PANEL DE CONTROL'!$C$7</f>
        <v>300</v>
      </c>
      <c r="F122" s="30">
        <f>(C122/150)*'PANEL DE CONTROL'!$C$8</f>
        <v>100</v>
      </c>
      <c r="G122" s="30">
        <f>(D122/250)*'PANEL DE CONTROL'!$C$9</f>
        <v>125</v>
      </c>
      <c r="H122" s="30">
        <f t="shared" si="1"/>
        <v>525</v>
      </c>
      <c r="I122" s="30">
        <f>IF(Datos!K122&gt;30,'PANEL DE CONTROL'!$D$14,0)+IF(Datos!M122&gt;80,'PANEL DE CONTROL'!$D$15,0)</f>
        <v>0</v>
      </c>
      <c r="J122" s="30">
        <f>IF(Datos!L122&lt;10,'PANEL DE CONTROL'!$D$16,0)+IF(Datos!N122&gt;24,'PANEL DE CONTROL'!$D$17,0)</f>
        <v>0</v>
      </c>
      <c r="K122" s="30">
        <f t="shared" si="2"/>
        <v>525</v>
      </c>
      <c r="L122" s="30">
        <f>Datos!G122</f>
        <v>708.51</v>
      </c>
      <c r="M122" s="30">
        <f>IF(Datos!O122="muy_nuevo",'PANEL DE CONTROL'!$C$22,IF(Datos!O122="nuevo",'PANEL DE CONTROL'!$C$23,IF(Datos!O122="intermedio",'PANEL DE CONTROL'!$C$24,IF(Datos!O122="establecido",'PANEL DE CONTROL'!$C$25,'PANEL DE CONTROL'!$C$26))))</f>
        <v>0.4</v>
      </c>
      <c r="N122" s="30">
        <f>IF(Datos!J122&gt;=20,0.1,IF(Datos!J122&lt;5,-0.1,0))</f>
        <v>0</v>
      </c>
      <c r="O122" s="30">
        <f t="shared" si="3"/>
        <v>0.4</v>
      </c>
      <c r="P122" s="30">
        <f t="shared" si="4"/>
        <v>635.106</v>
      </c>
      <c r="Q122" s="30" t="str">
        <f>IF(P122&gt;='PANEL DE CONTROL'!$B$30,"A+",IF(P122&gt;='PANEL DE CONTROL'!$B$31,"A",IF(P122&gt;='PANEL DE CONTROL'!$B$32,"A-",IF(P122&gt;='PANEL DE CONTROL'!$B$33,"B+",IF(P122&gt;='PANEL DE CONTROL'!$B$34,"B",IF(P122&gt;='PANEL DE CONTROL'!$B$35,"B-",IF(P122&gt;='PANEL DE CONTROL'!$B$36,"C+",IF(P122&gt;='PANEL DE CONTROL'!$B$37,"C",IF(P122&gt;='PANEL DE CONTROL'!$B$38,"C-",IF(P122&gt;='PANEL DE CONTROL'!$B$39,"D+",IF(P122&gt;='PANEL DE CONTROL'!$B$40,"D","F")))))))))))</f>
        <v>C+</v>
      </c>
      <c r="R122" s="30" t="str">
        <f>Datos!I122</f>
        <v>C+</v>
      </c>
      <c r="S122" s="30">
        <f>P122-Datos!H122</f>
        <v>-0.004</v>
      </c>
      <c r="T122" s="30" t="str">
        <f t="shared" si="5"/>
        <v>Igual</v>
      </c>
      <c r="U122" s="30" t="str">
        <f>Datos!O122</f>
        <v>nuevo</v>
      </c>
      <c r="V122" s="30" t="str">
        <f>Datos!Q122</f>
        <v>regular</v>
      </c>
    </row>
    <row r="123" ht="15.75" customHeight="1">
      <c r="A123" s="30">
        <f>Datos!A123</f>
        <v>58355414</v>
      </c>
      <c r="B123" s="30">
        <f>Datos!B123</f>
        <v>300</v>
      </c>
      <c r="C123" s="30">
        <f>Datos!C123</f>
        <v>50</v>
      </c>
      <c r="D123" s="30">
        <f>Datos!D123</f>
        <v>125</v>
      </c>
      <c r="E123" s="30">
        <f>(B123/600)*'PANEL DE CONTROL'!$C$7</f>
        <v>300</v>
      </c>
      <c r="F123" s="30">
        <f>(C123/150)*'PANEL DE CONTROL'!$C$8</f>
        <v>50</v>
      </c>
      <c r="G123" s="30">
        <f>(D123/250)*'PANEL DE CONTROL'!$C$9</f>
        <v>125</v>
      </c>
      <c r="H123" s="30">
        <f t="shared" si="1"/>
        <v>475</v>
      </c>
      <c r="I123" s="30">
        <f>IF(Datos!K123&gt;30,'PANEL DE CONTROL'!$D$14,0)+IF(Datos!M123&gt;80,'PANEL DE CONTROL'!$D$15,0)</f>
        <v>0</v>
      </c>
      <c r="J123" s="30">
        <f>IF(Datos!L123&lt;10,'PANEL DE CONTROL'!$D$16,0)+IF(Datos!N123&gt;24,'PANEL DE CONTROL'!$D$17,0)</f>
        <v>0</v>
      </c>
      <c r="K123" s="30">
        <f t="shared" si="2"/>
        <v>475</v>
      </c>
      <c r="L123" s="30">
        <f>Datos!G123</f>
        <v>688.86</v>
      </c>
      <c r="M123" s="30">
        <f>IF(Datos!O123="muy_nuevo",'PANEL DE CONTROL'!$C$22,IF(Datos!O123="nuevo",'PANEL DE CONTROL'!$C$23,IF(Datos!O123="intermedio",'PANEL DE CONTROL'!$C$24,IF(Datos!O123="establecido",'PANEL DE CONTROL'!$C$25,'PANEL DE CONTROL'!$C$26))))</f>
        <v>0.4</v>
      </c>
      <c r="N123" s="30">
        <f>IF(Datos!J123&gt;=20,0.1,IF(Datos!J123&lt;5,-0.1,0))</f>
        <v>0.1</v>
      </c>
      <c r="O123" s="30">
        <f t="shared" si="3"/>
        <v>0.5</v>
      </c>
      <c r="P123" s="30">
        <f t="shared" si="4"/>
        <v>581.93</v>
      </c>
      <c r="Q123" s="30" t="str">
        <f>IF(P123&gt;='PANEL DE CONTROL'!$B$30,"A+",IF(P123&gt;='PANEL DE CONTROL'!$B$31,"A",IF(P123&gt;='PANEL DE CONTROL'!$B$32,"A-",IF(P123&gt;='PANEL DE CONTROL'!$B$33,"B+",IF(P123&gt;='PANEL DE CONTROL'!$B$34,"B",IF(P123&gt;='PANEL DE CONTROL'!$B$35,"B-",IF(P123&gt;='PANEL DE CONTROL'!$B$36,"C+",IF(P123&gt;='PANEL DE CONTROL'!$B$37,"C",IF(P123&gt;='PANEL DE CONTROL'!$B$38,"C-",IF(P123&gt;='PANEL DE CONTROL'!$B$39,"D+",IF(P123&gt;='PANEL DE CONTROL'!$B$40,"D","F")))))))))))</f>
        <v>C</v>
      </c>
      <c r="R123" s="30" t="str">
        <f>Datos!I123</f>
        <v>C+</v>
      </c>
      <c r="S123" s="30">
        <f>P123-Datos!H123</f>
        <v>-21.39</v>
      </c>
      <c r="T123" s="30" t="str">
        <f t="shared" si="5"/>
        <v>Empeora</v>
      </c>
      <c r="U123" s="30" t="str">
        <f>Datos!O123</f>
        <v>nuevo</v>
      </c>
      <c r="V123" s="30" t="str">
        <f>Datos!Q123</f>
        <v>regular</v>
      </c>
    </row>
    <row r="124" ht="15.75" customHeight="1">
      <c r="A124" s="30">
        <f>Datos!A124</f>
        <v>66316631</v>
      </c>
      <c r="B124" s="30">
        <f>Datos!B124</f>
        <v>300</v>
      </c>
      <c r="C124" s="30">
        <f>Datos!C124</f>
        <v>100</v>
      </c>
      <c r="D124" s="30">
        <f>Datos!D124</f>
        <v>75</v>
      </c>
      <c r="E124" s="30">
        <f>(B124/600)*'PANEL DE CONTROL'!$C$7</f>
        <v>300</v>
      </c>
      <c r="F124" s="30">
        <f>(C124/150)*'PANEL DE CONTROL'!$C$8</f>
        <v>100</v>
      </c>
      <c r="G124" s="30">
        <f>(D124/250)*'PANEL DE CONTROL'!$C$9</f>
        <v>75</v>
      </c>
      <c r="H124" s="30">
        <f t="shared" si="1"/>
        <v>475</v>
      </c>
      <c r="I124" s="30">
        <f>IF(Datos!K124&gt;30,'PANEL DE CONTROL'!$D$14,0)+IF(Datos!M124&gt;80,'PANEL DE CONTROL'!$D$15,0)</f>
        <v>0</v>
      </c>
      <c r="J124" s="30">
        <f>IF(Datos!L124&lt;10,'PANEL DE CONTROL'!$D$16,0)+IF(Datos!N124&gt;24,'PANEL DE CONTROL'!$D$17,0)</f>
        <v>0</v>
      </c>
      <c r="K124" s="30">
        <f t="shared" si="2"/>
        <v>475</v>
      </c>
      <c r="L124" s="30">
        <f>Datos!G124</f>
        <v>623.6</v>
      </c>
      <c r="M124" s="30">
        <f>IF(Datos!O124="muy_nuevo",'PANEL DE CONTROL'!$C$22,IF(Datos!O124="nuevo",'PANEL DE CONTROL'!$C$23,IF(Datos!O124="intermedio",'PANEL DE CONTROL'!$C$24,IF(Datos!O124="establecido",'PANEL DE CONTROL'!$C$25,'PANEL DE CONTROL'!$C$26))))</f>
        <v>0.5</v>
      </c>
      <c r="N124" s="30">
        <f>IF(Datos!J124&gt;=20,0.1,IF(Datos!J124&lt;5,-0.1,0))</f>
        <v>0</v>
      </c>
      <c r="O124" s="30">
        <f t="shared" si="3"/>
        <v>0.5</v>
      </c>
      <c r="P124" s="30">
        <f t="shared" si="4"/>
        <v>549.3</v>
      </c>
      <c r="Q124" s="30" t="str">
        <f>IF(P124&gt;='PANEL DE CONTROL'!$B$30,"A+",IF(P124&gt;='PANEL DE CONTROL'!$B$31,"A",IF(P124&gt;='PANEL DE CONTROL'!$B$32,"A-",IF(P124&gt;='PANEL DE CONTROL'!$B$33,"B+",IF(P124&gt;='PANEL DE CONTROL'!$B$34,"B",IF(P124&gt;='PANEL DE CONTROL'!$B$35,"B-",IF(P124&gt;='PANEL DE CONTROL'!$B$36,"C+",IF(P124&gt;='PANEL DE CONTROL'!$B$37,"C",IF(P124&gt;='PANEL DE CONTROL'!$B$38,"C-",IF(P124&gt;='PANEL DE CONTROL'!$B$39,"D+",IF(P124&gt;='PANEL DE CONTROL'!$B$40,"D","F")))))))))))</f>
        <v>C-</v>
      </c>
      <c r="R124" s="30" t="str">
        <f>Datos!I124</f>
        <v>C-</v>
      </c>
      <c r="S124" s="30">
        <f>P124-Datos!H124</f>
        <v>0</v>
      </c>
      <c r="T124" s="30" t="str">
        <f t="shared" si="5"/>
        <v>Igual</v>
      </c>
      <c r="U124" s="30" t="str">
        <f>Datos!O124</f>
        <v>intermedio</v>
      </c>
      <c r="V124" s="30" t="str">
        <f>Datos!Q124</f>
        <v>regular</v>
      </c>
    </row>
    <row r="125" ht="15.75" customHeight="1">
      <c r="A125" s="30">
        <f>Datos!A125</f>
        <v>64558874</v>
      </c>
      <c r="B125" s="30">
        <f>Datos!B125</f>
        <v>300</v>
      </c>
      <c r="C125" s="30">
        <f>Datos!C125</f>
        <v>100</v>
      </c>
      <c r="D125" s="30">
        <f>Datos!D125</f>
        <v>125</v>
      </c>
      <c r="E125" s="30">
        <f>(B125/600)*'PANEL DE CONTROL'!$C$7</f>
        <v>300</v>
      </c>
      <c r="F125" s="30">
        <f>(C125/150)*'PANEL DE CONTROL'!$C$8</f>
        <v>100</v>
      </c>
      <c r="G125" s="30">
        <f>(D125/250)*'PANEL DE CONTROL'!$C$9</f>
        <v>125</v>
      </c>
      <c r="H125" s="30">
        <f t="shared" si="1"/>
        <v>525</v>
      </c>
      <c r="I125" s="30">
        <f>IF(Datos!K125&gt;30,'PANEL DE CONTROL'!$D$14,0)+IF(Datos!M125&gt;80,'PANEL DE CONTROL'!$D$15,0)</f>
        <v>0</v>
      </c>
      <c r="J125" s="30">
        <f>IF(Datos!L125&lt;10,'PANEL DE CONTROL'!$D$16,0)+IF(Datos!N125&gt;24,'PANEL DE CONTROL'!$D$17,0)</f>
        <v>0</v>
      </c>
      <c r="K125" s="30">
        <f t="shared" si="2"/>
        <v>525</v>
      </c>
      <c r="L125" s="30">
        <f>Datos!G125</f>
        <v>744.2</v>
      </c>
      <c r="M125" s="30">
        <f>IF(Datos!O125="muy_nuevo",'PANEL DE CONTROL'!$C$22,IF(Datos!O125="nuevo",'PANEL DE CONTROL'!$C$23,IF(Datos!O125="intermedio",'PANEL DE CONTROL'!$C$24,IF(Datos!O125="establecido",'PANEL DE CONTROL'!$C$25,'PANEL DE CONTROL'!$C$26))))</f>
        <v>0.4</v>
      </c>
      <c r="N125" s="30">
        <f>IF(Datos!J125&gt;=20,0.1,IF(Datos!J125&lt;5,-0.1,0))</f>
        <v>0.1</v>
      </c>
      <c r="O125" s="30">
        <f t="shared" si="3"/>
        <v>0.5</v>
      </c>
      <c r="P125" s="30">
        <f t="shared" si="4"/>
        <v>634.6</v>
      </c>
      <c r="Q125" s="30" t="str">
        <f>IF(P125&gt;='PANEL DE CONTROL'!$B$30,"A+",IF(P125&gt;='PANEL DE CONTROL'!$B$31,"A",IF(P125&gt;='PANEL DE CONTROL'!$B$32,"A-",IF(P125&gt;='PANEL DE CONTROL'!$B$33,"B+",IF(P125&gt;='PANEL DE CONTROL'!$B$34,"B",IF(P125&gt;='PANEL DE CONTROL'!$B$35,"B-",IF(P125&gt;='PANEL DE CONTROL'!$B$36,"C+",IF(P125&gt;='PANEL DE CONTROL'!$B$37,"C",IF(P125&gt;='PANEL DE CONTROL'!$B$38,"C-",IF(P125&gt;='PANEL DE CONTROL'!$B$39,"D+",IF(P125&gt;='PANEL DE CONTROL'!$B$40,"D","F")))))))))))</f>
        <v>C+</v>
      </c>
      <c r="R125" s="30" t="str">
        <f>Datos!I125</f>
        <v>B-</v>
      </c>
      <c r="S125" s="30">
        <f>P125-Datos!H125</f>
        <v>-21.92</v>
      </c>
      <c r="T125" s="30" t="str">
        <f t="shared" si="5"/>
        <v>Empeora</v>
      </c>
      <c r="U125" s="30" t="str">
        <f>Datos!O125</f>
        <v>nuevo</v>
      </c>
      <c r="V125" s="30" t="str">
        <f>Datos!Q125</f>
        <v>regular</v>
      </c>
    </row>
    <row r="126" ht="15.75" customHeight="1">
      <c r="A126" s="30">
        <f>Datos!A126</f>
        <v>21987595</v>
      </c>
      <c r="B126" s="30">
        <f>Datos!B126</f>
        <v>300</v>
      </c>
      <c r="C126" s="30">
        <f>Datos!C126</f>
        <v>50</v>
      </c>
      <c r="D126" s="30">
        <f>Datos!D126</f>
        <v>75</v>
      </c>
      <c r="E126" s="30">
        <f>(B126/600)*'PANEL DE CONTROL'!$C$7</f>
        <v>300</v>
      </c>
      <c r="F126" s="30">
        <f>(C126/150)*'PANEL DE CONTROL'!$C$8</f>
        <v>50</v>
      </c>
      <c r="G126" s="30">
        <f>(D126/250)*'PANEL DE CONTROL'!$C$9</f>
        <v>75</v>
      </c>
      <c r="H126" s="30">
        <f t="shared" si="1"/>
        <v>425</v>
      </c>
      <c r="I126" s="30">
        <f>IF(Datos!K126&gt;30,'PANEL DE CONTROL'!$D$14,0)+IF(Datos!M126&gt;80,'PANEL DE CONTROL'!$D$15,0)</f>
        <v>0</v>
      </c>
      <c r="J126" s="30">
        <f>IF(Datos!L126&lt;10,'PANEL DE CONTROL'!$D$16,0)+IF(Datos!N126&gt;24,'PANEL DE CONTROL'!$D$17,0)</f>
        <v>0</v>
      </c>
      <c r="K126" s="30">
        <f t="shared" si="2"/>
        <v>425</v>
      </c>
      <c r="L126" s="30">
        <f>Datos!G126</f>
        <v>713.5</v>
      </c>
      <c r="M126" s="30">
        <f>IF(Datos!O126="muy_nuevo",'PANEL DE CONTROL'!$C$22,IF(Datos!O126="nuevo",'PANEL DE CONTROL'!$C$23,IF(Datos!O126="intermedio",'PANEL DE CONTROL'!$C$24,IF(Datos!O126="establecido",'PANEL DE CONTROL'!$C$25,'PANEL DE CONTROL'!$C$26))))</f>
        <v>0.5</v>
      </c>
      <c r="N126" s="30">
        <f>IF(Datos!J126&gt;=20,0.1,IF(Datos!J126&lt;5,-0.1,0))</f>
        <v>0</v>
      </c>
      <c r="O126" s="30">
        <f t="shared" si="3"/>
        <v>0.5</v>
      </c>
      <c r="P126" s="30">
        <f t="shared" si="4"/>
        <v>569.25</v>
      </c>
      <c r="Q126" s="30" t="str">
        <f>IF(P126&gt;='PANEL DE CONTROL'!$B$30,"A+",IF(P126&gt;='PANEL DE CONTROL'!$B$31,"A",IF(P126&gt;='PANEL DE CONTROL'!$B$32,"A-",IF(P126&gt;='PANEL DE CONTROL'!$B$33,"B+",IF(P126&gt;='PANEL DE CONTROL'!$B$34,"B",IF(P126&gt;='PANEL DE CONTROL'!$B$35,"B-",IF(P126&gt;='PANEL DE CONTROL'!$B$36,"C+",IF(P126&gt;='PANEL DE CONTROL'!$B$37,"C",IF(P126&gt;='PANEL DE CONTROL'!$B$38,"C-",IF(P126&gt;='PANEL DE CONTROL'!$B$39,"D+",IF(P126&gt;='PANEL DE CONTROL'!$B$40,"D","F")))))))))))</f>
        <v>C</v>
      </c>
      <c r="R126" s="30" t="str">
        <f>Datos!I126</f>
        <v>C</v>
      </c>
      <c r="S126" s="30">
        <f>P126-Datos!H126</f>
        <v>0</v>
      </c>
      <c r="T126" s="30" t="str">
        <f t="shared" si="5"/>
        <v>Igual</v>
      </c>
      <c r="U126" s="30" t="str">
        <f>Datos!O126</f>
        <v>intermedio</v>
      </c>
      <c r="V126" s="30" t="str">
        <f>Datos!Q126</f>
        <v>regular</v>
      </c>
    </row>
    <row r="127" ht="15.75" customHeight="1">
      <c r="A127" s="30">
        <f>Datos!A127</f>
        <v>40583240</v>
      </c>
      <c r="B127" s="30">
        <f>Datos!B127</f>
        <v>200</v>
      </c>
      <c r="C127" s="30">
        <f>Datos!C127</f>
        <v>100</v>
      </c>
      <c r="D127" s="30">
        <f>Datos!D127</f>
        <v>125</v>
      </c>
      <c r="E127" s="30">
        <f>(B127/600)*'PANEL DE CONTROL'!$C$7</f>
        <v>200</v>
      </c>
      <c r="F127" s="30">
        <f>(C127/150)*'PANEL DE CONTROL'!$C$8</f>
        <v>100</v>
      </c>
      <c r="G127" s="30">
        <f>(D127/250)*'PANEL DE CONTROL'!$C$9</f>
        <v>125</v>
      </c>
      <c r="H127" s="30">
        <f t="shared" si="1"/>
        <v>425</v>
      </c>
      <c r="I127" s="30">
        <f>IF(Datos!K127&gt;30,'PANEL DE CONTROL'!$D$14,0)+IF(Datos!M127&gt;80,'PANEL DE CONTROL'!$D$15,0)</f>
        <v>0</v>
      </c>
      <c r="J127" s="30">
        <f>IF(Datos!L127&lt;10,'PANEL DE CONTROL'!$D$16,0)+IF(Datos!N127&gt;24,'PANEL DE CONTROL'!$D$17,0)</f>
        <v>0</v>
      </c>
      <c r="K127" s="30">
        <f t="shared" si="2"/>
        <v>425</v>
      </c>
      <c r="L127" s="30">
        <f>Datos!G127</f>
        <v>716.98</v>
      </c>
      <c r="M127" s="30">
        <f>IF(Datos!O127="muy_nuevo",'PANEL DE CONTROL'!$C$22,IF(Datos!O127="nuevo",'PANEL DE CONTROL'!$C$23,IF(Datos!O127="intermedio",'PANEL DE CONTROL'!$C$24,IF(Datos!O127="establecido",'PANEL DE CONTROL'!$C$25,'PANEL DE CONTROL'!$C$26))))</f>
        <v>0.5</v>
      </c>
      <c r="N127" s="30">
        <f>IF(Datos!J127&gt;=20,0.1,IF(Datos!J127&lt;5,-0.1,0))</f>
        <v>0.1</v>
      </c>
      <c r="O127" s="30">
        <f t="shared" si="3"/>
        <v>0.6</v>
      </c>
      <c r="P127" s="30">
        <f t="shared" si="4"/>
        <v>541.792</v>
      </c>
      <c r="Q127" s="30" t="str">
        <f>IF(P127&gt;='PANEL DE CONTROL'!$B$30,"A+",IF(P127&gt;='PANEL DE CONTROL'!$B$31,"A",IF(P127&gt;='PANEL DE CONTROL'!$B$32,"A-",IF(P127&gt;='PANEL DE CONTROL'!$B$33,"B+",IF(P127&gt;='PANEL DE CONTROL'!$B$34,"B",IF(P127&gt;='PANEL DE CONTROL'!$B$35,"B-",IF(P127&gt;='PANEL DE CONTROL'!$B$36,"C+",IF(P127&gt;='PANEL DE CONTROL'!$B$37,"C",IF(P127&gt;='PANEL DE CONTROL'!$B$38,"C-",IF(P127&gt;='PANEL DE CONTROL'!$B$39,"D+",IF(P127&gt;='PANEL DE CONTROL'!$B$40,"D","F")))))))))))</f>
        <v>C-</v>
      </c>
      <c r="R127" s="30" t="str">
        <f>Datos!I127</f>
        <v>C</v>
      </c>
      <c r="S127" s="30">
        <f>P127-Datos!H127</f>
        <v>-29.198</v>
      </c>
      <c r="T127" s="30" t="str">
        <f t="shared" si="5"/>
        <v>Empeora</v>
      </c>
      <c r="U127" s="30" t="str">
        <f>Datos!O127</f>
        <v>intermedio</v>
      </c>
      <c r="V127" s="30" t="str">
        <f>Datos!Q127</f>
        <v>regular</v>
      </c>
    </row>
    <row r="128" ht="15.75" customHeight="1">
      <c r="A128" s="30">
        <f>Datos!A128</f>
        <v>38884911</v>
      </c>
      <c r="B128" s="30">
        <f>Datos!B128</f>
        <v>200</v>
      </c>
      <c r="C128" s="30">
        <f>Datos!C128</f>
        <v>100</v>
      </c>
      <c r="D128" s="30">
        <f>Datos!D128</f>
        <v>125</v>
      </c>
      <c r="E128" s="30">
        <f>(B128/600)*'PANEL DE CONTROL'!$C$7</f>
        <v>200</v>
      </c>
      <c r="F128" s="30">
        <f>(C128/150)*'PANEL DE CONTROL'!$C$8</f>
        <v>100</v>
      </c>
      <c r="G128" s="30">
        <f>(D128/250)*'PANEL DE CONTROL'!$C$9</f>
        <v>125</v>
      </c>
      <c r="H128" s="30">
        <f t="shared" si="1"/>
        <v>425</v>
      </c>
      <c r="I128" s="30">
        <f>IF(Datos!K128&gt;30,'PANEL DE CONTROL'!$D$14,0)+IF(Datos!M128&gt;80,'PANEL DE CONTROL'!$D$15,0)</f>
        <v>0</v>
      </c>
      <c r="J128" s="30">
        <f>IF(Datos!L128&lt;10,'PANEL DE CONTROL'!$D$16,0)+IF(Datos!N128&gt;24,'PANEL DE CONTROL'!$D$17,0)</f>
        <v>0</v>
      </c>
      <c r="K128" s="30">
        <f t="shared" si="2"/>
        <v>425</v>
      </c>
      <c r="L128" s="30">
        <f>Datos!G128</f>
        <v>740.58</v>
      </c>
      <c r="M128" s="30">
        <f>IF(Datos!O128="muy_nuevo",'PANEL DE CONTROL'!$C$22,IF(Datos!O128="nuevo",'PANEL DE CONTROL'!$C$23,IF(Datos!O128="intermedio",'PANEL DE CONTROL'!$C$24,IF(Datos!O128="establecido",'PANEL DE CONTROL'!$C$25,'PANEL DE CONTROL'!$C$26))))</f>
        <v>0.4</v>
      </c>
      <c r="N128" s="30">
        <f>IF(Datos!J128&gt;=20,0.1,IF(Datos!J128&lt;5,-0.1,0))</f>
        <v>0</v>
      </c>
      <c r="O128" s="30">
        <f t="shared" si="3"/>
        <v>0.4</v>
      </c>
      <c r="P128" s="30">
        <f t="shared" si="4"/>
        <v>614.348</v>
      </c>
      <c r="Q128" s="30" t="str">
        <f>IF(P128&gt;='PANEL DE CONTROL'!$B$30,"A+",IF(P128&gt;='PANEL DE CONTROL'!$B$31,"A",IF(P128&gt;='PANEL DE CONTROL'!$B$32,"A-",IF(P128&gt;='PANEL DE CONTROL'!$B$33,"B+",IF(P128&gt;='PANEL DE CONTROL'!$B$34,"B",IF(P128&gt;='PANEL DE CONTROL'!$B$35,"B-",IF(P128&gt;='PANEL DE CONTROL'!$B$36,"C+",IF(P128&gt;='PANEL DE CONTROL'!$B$37,"C",IF(P128&gt;='PANEL DE CONTROL'!$B$38,"C-",IF(P128&gt;='PANEL DE CONTROL'!$B$39,"D+",IF(P128&gt;='PANEL DE CONTROL'!$B$40,"D","F")))))))))))</f>
        <v>C+</v>
      </c>
      <c r="R128" s="30" t="str">
        <f>Datos!I128</f>
        <v>C+</v>
      </c>
      <c r="S128" s="30">
        <f>P128-Datos!H128</f>
        <v>-0.002</v>
      </c>
      <c r="T128" s="30" t="str">
        <f t="shared" si="5"/>
        <v>Igual</v>
      </c>
      <c r="U128" s="30" t="str">
        <f>Datos!O128</f>
        <v>nuevo</v>
      </c>
      <c r="V128" s="30" t="str">
        <f>Datos!Q128</f>
        <v>regular</v>
      </c>
    </row>
    <row r="129" ht="15.75" customHeight="1">
      <c r="A129" s="30">
        <f>Datos!A129</f>
        <v>35427221</v>
      </c>
      <c r="B129" s="30">
        <f>Datos!B129</f>
        <v>200</v>
      </c>
      <c r="C129" s="30">
        <f>Datos!C129</f>
        <v>100</v>
      </c>
      <c r="D129" s="30">
        <f>Datos!D129</f>
        <v>75</v>
      </c>
      <c r="E129" s="30">
        <f>(B129/600)*'PANEL DE CONTROL'!$C$7</f>
        <v>200</v>
      </c>
      <c r="F129" s="30">
        <f>(C129/150)*'PANEL DE CONTROL'!$C$8</f>
        <v>100</v>
      </c>
      <c r="G129" s="30">
        <f>(D129/250)*'PANEL DE CONTROL'!$C$9</f>
        <v>75</v>
      </c>
      <c r="H129" s="30">
        <f t="shared" si="1"/>
        <v>375</v>
      </c>
      <c r="I129" s="30">
        <f>IF(Datos!K129&gt;30,'PANEL DE CONTROL'!$D$14,0)+IF(Datos!M129&gt;80,'PANEL DE CONTROL'!$D$15,0)</f>
        <v>0</v>
      </c>
      <c r="J129" s="30">
        <f>IF(Datos!L129&lt;10,'PANEL DE CONTROL'!$D$16,0)+IF(Datos!N129&gt;24,'PANEL DE CONTROL'!$D$17,0)</f>
        <v>0</v>
      </c>
      <c r="K129" s="30">
        <f t="shared" si="2"/>
        <v>375</v>
      </c>
      <c r="L129" s="30">
        <f>Datos!G129</f>
        <v>727.86</v>
      </c>
      <c r="M129" s="30">
        <f>IF(Datos!O129="muy_nuevo",'PANEL DE CONTROL'!$C$22,IF(Datos!O129="nuevo",'PANEL DE CONTROL'!$C$23,IF(Datos!O129="intermedio",'PANEL DE CONTROL'!$C$24,IF(Datos!O129="establecido",'PANEL DE CONTROL'!$C$25,'PANEL DE CONTROL'!$C$26))))</f>
        <v>0.4</v>
      </c>
      <c r="N129" s="30">
        <f>IF(Datos!J129&gt;=20,0.1,IF(Datos!J129&lt;5,-0.1,0))</f>
        <v>0.1</v>
      </c>
      <c r="O129" s="30">
        <f t="shared" si="3"/>
        <v>0.5</v>
      </c>
      <c r="P129" s="30">
        <f t="shared" si="4"/>
        <v>551.43</v>
      </c>
      <c r="Q129" s="30" t="str">
        <f>IF(P129&gt;='PANEL DE CONTROL'!$B$30,"A+",IF(P129&gt;='PANEL DE CONTROL'!$B$31,"A",IF(P129&gt;='PANEL DE CONTROL'!$B$32,"A-",IF(P129&gt;='PANEL DE CONTROL'!$B$33,"B+",IF(P129&gt;='PANEL DE CONTROL'!$B$34,"B",IF(P129&gt;='PANEL DE CONTROL'!$B$35,"B-",IF(P129&gt;='PANEL DE CONTROL'!$B$36,"C+",IF(P129&gt;='PANEL DE CONTROL'!$B$37,"C",IF(P129&gt;='PANEL DE CONTROL'!$B$38,"C-",IF(P129&gt;='PANEL DE CONTROL'!$B$39,"D+",IF(P129&gt;='PANEL DE CONTROL'!$B$40,"D","F")))))))))))</f>
        <v>C</v>
      </c>
      <c r="R129" s="30" t="str">
        <f>Datos!I129</f>
        <v>C</v>
      </c>
      <c r="S129" s="30">
        <f>P129-Datos!H129</f>
        <v>-35.29</v>
      </c>
      <c r="T129" s="30" t="str">
        <f t="shared" si="5"/>
        <v>Empeora</v>
      </c>
      <c r="U129" s="30" t="str">
        <f>Datos!O129</f>
        <v>nuevo</v>
      </c>
      <c r="V129" s="30" t="str">
        <f>Datos!Q129</f>
        <v>regular</v>
      </c>
    </row>
    <row r="130" ht="15.75" customHeight="1">
      <c r="A130" s="30">
        <f>Datos!A130</f>
        <v>18369502</v>
      </c>
      <c r="B130" s="30">
        <f>Datos!B130</f>
        <v>300</v>
      </c>
      <c r="C130" s="30">
        <f>Datos!C130</f>
        <v>100</v>
      </c>
      <c r="D130" s="30">
        <f>Datos!D130</f>
        <v>125</v>
      </c>
      <c r="E130" s="30">
        <f>(B130/600)*'PANEL DE CONTROL'!$C$7</f>
        <v>300</v>
      </c>
      <c r="F130" s="30">
        <f>(C130/150)*'PANEL DE CONTROL'!$C$8</f>
        <v>100</v>
      </c>
      <c r="G130" s="30">
        <f>(D130/250)*'PANEL DE CONTROL'!$C$9</f>
        <v>125</v>
      </c>
      <c r="H130" s="30">
        <f t="shared" si="1"/>
        <v>525</v>
      </c>
      <c r="I130" s="30">
        <f>IF(Datos!K130&gt;30,'PANEL DE CONTROL'!$D$14,0)+IF(Datos!M130&gt;80,'PANEL DE CONTROL'!$D$15,0)</f>
        <v>0</v>
      </c>
      <c r="J130" s="30">
        <f>IF(Datos!L130&lt;10,'PANEL DE CONTROL'!$D$16,0)+IF(Datos!N130&gt;24,'PANEL DE CONTROL'!$D$17,0)</f>
        <v>0</v>
      </c>
      <c r="K130" s="30">
        <f t="shared" si="2"/>
        <v>525</v>
      </c>
      <c r="L130" s="30">
        <f>Datos!G130</f>
        <v>673.3</v>
      </c>
      <c r="M130" s="30">
        <f>IF(Datos!O130="muy_nuevo",'PANEL DE CONTROL'!$C$22,IF(Datos!O130="nuevo",'PANEL DE CONTROL'!$C$23,IF(Datos!O130="intermedio",'PANEL DE CONTROL'!$C$24,IF(Datos!O130="establecido",'PANEL DE CONTROL'!$C$25,'PANEL DE CONTROL'!$C$26))))</f>
        <v>0.4</v>
      </c>
      <c r="N130" s="30">
        <f>IF(Datos!J130&gt;=20,0.1,IF(Datos!J130&lt;5,-0.1,0))</f>
        <v>0.1</v>
      </c>
      <c r="O130" s="30">
        <f t="shared" si="3"/>
        <v>0.5</v>
      </c>
      <c r="P130" s="30">
        <f t="shared" si="4"/>
        <v>599.15</v>
      </c>
      <c r="Q130" s="30" t="str">
        <f>IF(P130&gt;='PANEL DE CONTROL'!$B$30,"A+",IF(P130&gt;='PANEL DE CONTROL'!$B$31,"A",IF(P130&gt;='PANEL DE CONTROL'!$B$32,"A-",IF(P130&gt;='PANEL DE CONTROL'!$B$33,"B+",IF(P130&gt;='PANEL DE CONTROL'!$B$34,"B",IF(P130&gt;='PANEL DE CONTROL'!$B$35,"B-",IF(P130&gt;='PANEL DE CONTROL'!$B$36,"C+",IF(P130&gt;='PANEL DE CONTROL'!$B$37,"C",IF(P130&gt;='PANEL DE CONTROL'!$B$38,"C-",IF(P130&gt;='PANEL DE CONTROL'!$B$39,"D+",IF(P130&gt;='PANEL DE CONTROL'!$B$40,"D","F")))))))))))</f>
        <v>C</v>
      </c>
      <c r="R130" s="30" t="str">
        <f>Datos!I130</f>
        <v>C+</v>
      </c>
      <c r="S130" s="30">
        <f>P130-Datos!H130</f>
        <v>-14.83</v>
      </c>
      <c r="T130" s="30" t="str">
        <f t="shared" si="5"/>
        <v>Empeora</v>
      </c>
      <c r="U130" s="30" t="str">
        <f>Datos!O130</f>
        <v>nuevo</v>
      </c>
      <c r="V130" s="30" t="str">
        <f>Datos!Q130</f>
        <v>regular</v>
      </c>
    </row>
    <row r="131" ht="15.75" customHeight="1">
      <c r="A131" s="30">
        <f>Datos!A131</f>
        <v>91889850</v>
      </c>
      <c r="B131" s="30">
        <f>Datos!B131</f>
        <v>300</v>
      </c>
      <c r="C131" s="30">
        <f>Datos!C131</f>
        <v>50</v>
      </c>
      <c r="D131" s="30">
        <f>Datos!D131</f>
        <v>125</v>
      </c>
      <c r="E131" s="30">
        <f>(B131/600)*'PANEL DE CONTROL'!$C$7</f>
        <v>300</v>
      </c>
      <c r="F131" s="30">
        <f>(C131/150)*'PANEL DE CONTROL'!$C$8</f>
        <v>50</v>
      </c>
      <c r="G131" s="30">
        <f>(D131/250)*'PANEL DE CONTROL'!$C$9</f>
        <v>125</v>
      </c>
      <c r="H131" s="30">
        <f t="shared" si="1"/>
        <v>475</v>
      </c>
      <c r="I131" s="30">
        <f>IF(Datos!K131&gt;30,'PANEL DE CONTROL'!$D$14,0)+IF(Datos!M131&gt;80,'PANEL DE CONTROL'!$D$15,0)</f>
        <v>0</v>
      </c>
      <c r="J131" s="30">
        <f>IF(Datos!L131&lt;10,'PANEL DE CONTROL'!$D$16,0)+IF(Datos!N131&gt;24,'PANEL DE CONTROL'!$D$17,0)</f>
        <v>0</v>
      </c>
      <c r="K131" s="30">
        <f t="shared" si="2"/>
        <v>475</v>
      </c>
      <c r="L131" s="30">
        <f>Datos!G131</f>
        <v>723.89</v>
      </c>
      <c r="M131" s="30">
        <f>IF(Datos!O131="muy_nuevo",'PANEL DE CONTROL'!$C$22,IF(Datos!O131="nuevo",'PANEL DE CONTROL'!$C$23,IF(Datos!O131="intermedio",'PANEL DE CONTROL'!$C$24,IF(Datos!O131="establecido",'PANEL DE CONTROL'!$C$25,'PANEL DE CONTROL'!$C$26))))</f>
        <v>0.5</v>
      </c>
      <c r="N131" s="30">
        <f>IF(Datos!J131&gt;=20,0.1,IF(Datos!J131&lt;5,-0.1,0))</f>
        <v>0.1</v>
      </c>
      <c r="O131" s="30">
        <f t="shared" si="3"/>
        <v>0.6</v>
      </c>
      <c r="P131" s="30">
        <f t="shared" si="4"/>
        <v>574.556</v>
      </c>
      <c r="Q131" s="30" t="str">
        <f>IF(P131&gt;='PANEL DE CONTROL'!$B$30,"A+",IF(P131&gt;='PANEL DE CONTROL'!$B$31,"A",IF(P131&gt;='PANEL DE CONTROL'!$B$32,"A-",IF(P131&gt;='PANEL DE CONTROL'!$B$33,"B+",IF(P131&gt;='PANEL DE CONTROL'!$B$34,"B",IF(P131&gt;='PANEL DE CONTROL'!$B$35,"B-",IF(P131&gt;='PANEL DE CONTROL'!$B$36,"C+",IF(P131&gt;='PANEL DE CONTROL'!$B$37,"C",IF(P131&gt;='PANEL DE CONTROL'!$B$38,"C-",IF(P131&gt;='PANEL DE CONTROL'!$B$39,"D+",IF(P131&gt;='PANEL DE CONTROL'!$B$40,"D","F")))))))))))</f>
        <v>C</v>
      </c>
      <c r="R131" s="30" t="str">
        <f>Datos!I131</f>
        <v>C</v>
      </c>
      <c r="S131" s="30">
        <f>P131-Datos!H131</f>
        <v>-24.884</v>
      </c>
      <c r="T131" s="30" t="str">
        <f t="shared" si="5"/>
        <v>Empeora</v>
      </c>
      <c r="U131" s="30" t="str">
        <f>Datos!O131</f>
        <v>intermedio</v>
      </c>
      <c r="V131" s="30" t="str">
        <f>Datos!Q131</f>
        <v>regular</v>
      </c>
    </row>
    <row r="132" ht="15.75" customHeight="1">
      <c r="A132" s="30">
        <f>Datos!A132</f>
        <v>54603903</v>
      </c>
      <c r="B132" s="30">
        <f>Datos!B132</f>
        <v>200</v>
      </c>
      <c r="C132" s="30">
        <f>Datos!C132</f>
        <v>100</v>
      </c>
      <c r="D132" s="30">
        <f>Datos!D132</f>
        <v>125</v>
      </c>
      <c r="E132" s="30">
        <f>(B132/600)*'PANEL DE CONTROL'!$C$7</f>
        <v>200</v>
      </c>
      <c r="F132" s="30">
        <f>(C132/150)*'PANEL DE CONTROL'!$C$8</f>
        <v>100</v>
      </c>
      <c r="G132" s="30">
        <f>(D132/250)*'PANEL DE CONTROL'!$C$9</f>
        <v>125</v>
      </c>
      <c r="H132" s="30">
        <f t="shared" si="1"/>
        <v>425</v>
      </c>
      <c r="I132" s="30">
        <f>IF(Datos!K132&gt;30,'PANEL DE CONTROL'!$D$14,0)+IF(Datos!M132&gt;80,'PANEL DE CONTROL'!$D$15,0)</f>
        <v>0</v>
      </c>
      <c r="J132" s="30">
        <f>IF(Datos!L132&lt;10,'PANEL DE CONTROL'!$D$16,0)+IF(Datos!N132&gt;24,'PANEL DE CONTROL'!$D$17,0)</f>
        <v>0</v>
      </c>
      <c r="K132" s="30">
        <f t="shared" si="2"/>
        <v>425</v>
      </c>
      <c r="L132" s="30">
        <f>Datos!G132</f>
        <v>741.54</v>
      </c>
      <c r="M132" s="30">
        <f>IF(Datos!O132="muy_nuevo",'PANEL DE CONTROL'!$C$22,IF(Datos!O132="nuevo",'PANEL DE CONTROL'!$C$23,IF(Datos!O132="intermedio",'PANEL DE CONTROL'!$C$24,IF(Datos!O132="establecido",'PANEL DE CONTROL'!$C$25,'PANEL DE CONTROL'!$C$26))))</f>
        <v>0.4</v>
      </c>
      <c r="N132" s="30">
        <f>IF(Datos!J132&gt;=20,0.1,IF(Datos!J132&lt;5,-0.1,0))</f>
        <v>0.1</v>
      </c>
      <c r="O132" s="30">
        <f t="shared" si="3"/>
        <v>0.5</v>
      </c>
      <c r="P132" s="30">
        <f t="shared" si="4"/>
        <v>583.27</v>
      </c>
      <c r="Q132" s="30" t="str">
        <f>IF(P132&gt;='PANEL DE CONTROL'!$B$30,"A+",IF(P132&gt;='PANEL DE CONTROL'!$B$31,"A",IF(P132&gt;='PANEL DE CONTROL'!$B$32,"A-",IF(P132&gt;='PANEL DE CONTROL'!$B$33,"B+",IF(P132&gt;='PANEL DE CONTROL'!$B$34,"B",IF(P132&gt;='PANEL DE CONTROL'!$B$35,"B-",IF(P132&gt;='PANEL DE CONTROL'!$B$36,"C+",IF(P132&gt;='PANEL DE CONTROL'!$B$37,"C",IF(P132&gt;='PANEL DE CONTROL'!$B$38,"C-",IF(P132&gt;='PANEL DE CONTROL'!$B$39,"D+",IF(P132&gt;='PANEL DE CONTROL'!$B$40,"D","F")))))))))))</f>
        <v>C</v>
      </c>
      <c r="R132" s="30" t="str">
        <f>Datos!I132</f>
        <v>C+</v>
      </c>
      <c r="S132" s="30">
        <f>P132-Datos!H132</f>
        <v>-31.66</v>
      </c>
      <c r="T132" s="30" t="str">
        <f t="shared" si="5"/>
        <v>Empeora</v>
      </c>
      <c r="U132" s="30" t="str">
        <f>Datos!O132</f>
        <v>nuevo</v>
      </c>
      <c r="V132" s="30" t="str">
        <f>Datos!Q132</f>
        <v>regular</v>
      </c>
    </row>
    <row r="133" ht="15.75" customHeight="1">
      <c r="A133" s="30">
        <f>Datos!A133</f>
        <v>42093371</v>
      </c>
      <c r="B133" s="30">
        <f>Datos!B133</f>
        <v>200</v>
      </c>
      <c r="C133" s="30">
        <f>Datos!C133</f>
        <v>50</v>
      </c>
      <c r="D133" s="30">
        <f>Datos!D133</f>
        <v>125</v>
      </c>
      <c r="E133" s="30">
        <f>(B133/600)*'PANEL DE CONTROL'!$C$7</f>
        <v>200</v>
      </c>
      <c r="F133" s="30">
        <f>(C133/150)*'PANEL DE CONTROL'!$C$8</f>
        <v>50</v>
      </c>
      <c r="G133" s="30">
        <f>(D133/250)*'PANEL DE CONTROL'!$C$9</f>
        <v>125</v>
      </c>
      <c r="H133" s="30">
        <f t="shared" si="1"/>
        <v>375</v>
      </c>
      <c r="I133" s="30">
        <f>IF(Datos!K133&gt;30,'PANEL DE CONTROL'!$D$14,0)+IF(Datos!M133&gt;80,'PANEL DE CONTROL'!$D$15,0)</f>
        <v>0</v>
      </c>
      <c r="J133" s="30">
        <f>IF(Datos!L133&lt;10,'PANEL DE CONTROL'!$D$16,0)+IF(Datos!N133&gt;24,'PANEL DE CONTROL'!$D$17,0)</f>
        <v>0</v>
      </c>
      <c r="K133" s="30">
        <f t="shared" si="2"/>
        <v>375</v>
      </c>
      <c r="L133" s="30">
        <f>Datos!G133</f>
        <v>630.05</v>
      </c>
      <c r="M133" s="30">
        <f>IF(Datos!O133="muy_nuevo",'PANEL DE CONTROL'!$C$22,IF(Datos!O133="nuevo",'PANEL DE CONTROL'!$C$23,IF(Datos!O133="intermedio",'PANEL DE CONTROL'!$C$24,IF(Datos!O133="establecido",'PANEL DE CONTROL'!$C$25,'PANEL DE CONTROL'!$C$26))))</f>
        <v>0.4</v>
      </c>
      <c r="N133" s="30">
        <f>IF(Datos!J133&gt;=20,0.1,IF(Datos!J133&lt;5,-0.1,0))</f>
        <v>0.1</v>
      </c>
      <c r="O133" s="30">
        <f t="shared" si="3"/>
        <v>0.5</v>
      </c>
      <c r="P133" s="30">
        <f t="shared" si="4"/>
        <v>502.525</v>
      </c>
      <c r="Q133" s="30" t="str">
        <f>IF(P133&gt;='PANEL DE CONTROL'!$B$30,"A+",IF(P133&gt;='PANEL DE CONTROL'!$B$31,"A",IF(P133&gt;='PANEL DE CONTROL'!$B$32,"A-",IF(P133&gt;='PANEL DE CONTROL'!$B$33,"B+",IF(P133&gt;='PANEL DE CONTROL'!$B$34,"B",IF(P133&gt;='PANEL DE CONTROL'!$B$35,"B-",IF(P133&gt;='PANEL DE CONTROL'!$B$36,"C+",IF(P133&gt;='PANEL DE CONTROL'!$B$37,"C",IF(P133&gt;='PANEL DE CONTROL'!$B$38,"C-",IF(P133&gt;='PANEL DE CONTROL'!$B$39,"D+",IF(P133&gt;='PANEL DE CONTROL'!$B$40,"D","F")))))))))))</f>
        <v>C-</v>
      </c>
      <c r="R133" s="30" t="str">
        <f>Datos!I133</f>
        <v>C-</v>
      </c>
      <c r="S133" s="30">
        <f>P133-Datos!H133</f>
        <v>-25.505</v>
      </c>
      <c r="T133" s="30" t="str">
        <f t="shared" si="5"/>
        <v>Empeora</v>
      </c>
      <c r="U133" s="30" t="str">
        <f>Datos!O133</f>
        <v>nuevo</v>
      </c>
      <c r="V133" s="30" t="str">
        <f>Datos!Q133</f>
        <v>regular</v>
      </c>
    </row>
    <row r="134" ht="15.75" customHeight="1">
      <c r="A134" s="30">
        <f>Datos!A134</f>
        <v>64190505</v>
      </c>
      <c r="B134" s="30">
        <f>Datos!B134</f>
        <v>200</v>
      </c>
      <c r="C134" s="30">
        <f>Datos!C134</f>
        <v>150</v>
      </c>
      <c r="D134" s="30">
        <f>Datos!D134</f>
        <v>75</v>
      </c>
      <c r="E134" s="30">
        <f>(B134/600)*'PANEL DE CONTROL'!$C$7</f>
        <v>200</v>
      </c>
      <c r="F134" s="30">
        <f>(C134/150)*'PANEL DE CONTROL'!$C$8</f>
        <v>150</v>
      </c>
      <c r="G134" s="30">
        <f>(D134/250)*'PANEL DE CONTROL'!$C$9</f>
        <v>75</v>
      </c>
      <c r="H134" s="30">
        <f t="shared" si="1"/>
        <v>425</v>
      </c>
      <c r="I134" s="30">
        <f>IF(Datos!K134&gt;30,'PANEL DE CONTROL'!$D$14,0)+IF(Datos!M134&gt;80,'PANEL DE CONTROL'!$D$15,0)</f>
        <v>0</v>
      </c>
      <c r="J134" s="30">
        <f>IF(Datos!L134&lt;10,'PANEL DE CONTROL'!$D$16,0)+IF(Datos!N134&gt;24,'PANEL DE CONTROL'!$D$17,0)</f>
        <v>0</v>
      </c>
      <c r="K134" s="30">
        <f t="shared" si="2"/>
        <v>425</v>
      </c>
      <c r="L134" s="30">
        <f>Datos!G134</f>
        <v>623.05</v>
      </c>
      <c r="M134" s="30">
        <f>IF(Datos!O134="muy_nuevo",'PANEL DE CONTROL'!$C$22,IF(Datos!O134="nuevo",'PANEL DE CONTROL'!$C$23,IF(Datos!O134="intermedio",'PANEL DE CONTROL'!$C$24,IF(Datos!O134="establecido",'PANEL DE CONTROL'!$C$25,'PANEL DE CONTROL'!$C$26))))</f>
        <v>0.4</v>
      </c>
      <c r="N134" s="30">
        <f>IF(Datos!J134&gt;=20,0.1,IF(Datos!J134&lt;5,-0.1,0))</f>
        <v>0</v>
      </c>
      <c r="O134" s="30">
        <f t="shared" si="3"/>
        <v>0.4</v>
      </c>
      <c r="P134" s="30">
        <f t="shared" si="4"/>
        <v>543.83</v>
      </c>
      <c r="Q134" s="30" t="str">
        <f>IF(P134&gt;='PANEL DE CONTROL'!$B$30,"A+",IF(P134&gt;='PANEL DE CONTROL'!$B$31,"A",IF(P134&gt;='PANEL DE CONTROL'!$B$32,"A-",IF(P134&gt;='PANEL DE CONTROL'!$B$33,"B+",IF(P134&gt;='PANEL DE CONTROL'!$B$34,"B",IF(P134&gt;='PANEL DE CONTROL'!$B$35,"B-",IF(P134&gt;='PANEL DE CONTROL'!$B$36,"C+",IF(P134&gt;='PANEL DE CONTROL'!$B$37,"C",IF(P134&gt;='PANEL DE CONTROL'!$B$38,"C-",IF(P134&gt;='PANEL DE CONTROL'!$B$39,"D+",IF(P134&gt;='PANEL DE CONTROL'!$B$40,"D","F")))))))))))</f>
        <v>C-</v>
      </c>
      <c r="R134" s="30" t="str">
        <f>Datos!I134</f>
        <v>C-</v>
      </c>
      <c r="S134" s="30">
        <f>P134-Datos!H134</f>
        <v>0</v>
      </c>
      <c r="T134" s="30" t="str">
        <f t="shared" si="5"/>
        <v>Igual</v>
      </c>
      <c r="U134" s="30" t="str">
        <f>Datos!O134</f>
        <v>nuevo</v>
      </c>
      <c r="V134" s="30" t="str">
        <f>Datos!Q134</f>
        <v>regular</v>
      </c>
    </row>
    <row r="135" ht="15.75" customHeight="1">
      <c r="A135" s="30">
        <f>Datos!A135</f>
        <v>65275412</v>
      </c>
      <c r="B135" s="30">
        <f>Datos!B135</f>
        <v>300</v>
      </c>
      <c r="C135" s="30">
        <f>Datos!C135</f>
        <v>50</v>
      </c>
      <c r="D135" s="30">
        <f>Datos!D135</f>
        <v>75</v>
      </c>
      <c r="E135" s="30">
        <f>(B135/600)*'PANEL DE CONTROL'!$C$7</f>
        <v>300</v>
      </c>
      <c r="F135" s="30">
        <f>(C135/150)*'PANEL DE CONTROL'!$C$8</f>
        <v>50</v>
      </c>
      <c r="G135" s="30">
        <f>(D135/250)*'PANEL DE CONTROL'!$C$9</f>
        <v>75</v>
      </c>
      <c r="H135" s="30">
        <f t="shared" si="1"/>
        <v>425</v>
      </c>
      <c r="I135" s="30">
        <f>IF(Datos!K135&gt;30,'PANEL DE CONTROL'!$D$14,0)+IF(Datos!M135&gt;80,'PANEL DE CONTROL'!$D$15,0)</f>
        <v>0</v>
      </c>
      <c r="J135" s="30">
        <f>IF(Datos!L135&lt;10,'PANEL DE CONTROL'!$D$16,0)+IF(Datos!N135&gt;24,'PANEL DE CONTROL'!$D$17,0)</f>
        <v>0</v>
      </c>
      <c r="K135" s="30">
        <f t="shared" si="2"/>
        <v>425</v>
      </c>
      <c r="L135" s="30">
        <f>Datos!G135</f>
        <v>600.18</v>
      </c>
      <c r="M135" s="30">
        <f>IF(Datos!O135="muy_nuevo",'PANEL DE CONTROL'!$C$22,IF(Datos!O135="nuevo",'PANEL DE CONTROL'!$C$23,IF(Datos!O135="intermedio",'PANEL DE CONTROL'!$C$24,IF(Datos!O135="establecido",'PANEL DE CONTROL'!$C$25,'PANEL DE CONTROL'!$C$26))))</f>
        <v>0.4</v>
      </c>
      <c r="N135" s="30">
        <f>IF(Datos!J135&gt;=20,0.1,IF(Datos!J135&lt;5,-0.1,0))</f>
        <v>0.1</v>
      </c>
      <c r="O135" s="30">
        <f t="shared" si="3"/>
        <v>0.5</v>
      </c>
      <c r="P135" s="30">
        <f t="shared" si="4"/>
        <v>512.59</v>
      </c>
      <c r="Q135" s="30" t="str">
        <f>IF(P135&gt;='PANEL DE CONTROL'!$B$30,"A+",IF(P135&gt;='PANEL DE CONTROL'!$B$31,"A",IF(P135&gt;='PANEL DE CONTROL'!$B$32,"A-",IF(P135&gt;='PANEL DE CONTROL'!$B$33,"B+",IF(P135&gt;='PANEL DE CONTROL'!$B$34,"B",IF(P135&gt;='PANEL DE CONTROL'!$B$35,"B-",IF(P135&gt;='PANEL DE CONTROL'!$B$36,"C+",IF(P135&gt;='PANEL DE CONTROL'!$B$37,"C",IF(P135&gt;='PANEL DE CONTROL'!$B$38,"C-",IF(P135&gt;='PANEL DE CONTROL'!$B$39,"D+",IF(P135&gt;='PANEL DE CONTROL'!$B$40,"D","F")))))))))))</f>
        <v>C-</v>
      </c>
      <c r="R135" s="30" t="str">
        <f>Datos!I135</f>
        <v>C-</v>
      </c>
      <c r="S135" s="30">
        <f>P135-Datos!H135</f>
        <v>-17.52</v>
      </c>
      <c r="T135" s="30" t="str">
        <f t="shared" si="5"/>
        <v>Empeora</v>
      </c>
      <c r="U135" s="30" t="str">
        <f>Datos!O135</f>
        <v>nuevo</v>
      </c>
      <c r="V135" s="30" t="str">
        <f>Datos!Q135</f>
        <v>regular</v>
      </c>
    </row>
    <row r="136" ht="15.75" customHeight="1">
      <c r="A136" s="30">
        <f>Datos!A136</f>
        <v>47328448</v>
      </c>
      <c r="B136" s="30">
        <f>Datos!B136</f>
        <v>200</v>
      </c>
      <c r="C136" s="30">
        <f>Datos!C136</f>
        <v>100</v>
      </c>
      <c r="D136" s="30">
        <f>Datos!D136</f>
        <v>75</v>
      </c>
      <c r="E136" s="30">
        <f>(B136/600)*'PANEL DE CONTROL'!$C$7</f>
        <v>200</v>
      </c>
      <c r="F136" s="30">
        <f>(C136/150)*'PANEL DE CONTROL'!$C$8</f>
        <v>100</v>
      </c>
      <c r="G136" s="30">
        <f>(D136/250)*'PANEL DE CONTROL'!$C$9</f>
        <v>75</v>
      </c>
      <c r="H136" s="30">
        <f t="shared" si="1"/>
        <v>375</v>
      </c>
      <c r="I136" s="30">
        <f>IF(Datos!K136&gt;30,'PANEL DE CONTROL'!$D$14,0)+IF(Datos!M136&gt;80,'PANEL DE CONTROL'!$D$15,0)</f>
        <v>0</v>
      </c>
      <c r="J136" s="30">
        <f>IF(Datos!L136&lt;10,'PANEL DE CONTROL'!$D$16,0)+IF(Datos!N136&gt;24,'PANEL DE CONTROL'!$D$17,0)</f>
        <v>0</v>
      </c>
      <c r="K136" s="30">
        <f t="shared" si="2"/>
        <v>375</v>
      </c>
      <c r="L136" s="30">
        <f>Datos!G136</f>
        <v>719.63</v>
      </c>
      <c r="M136" s="30">
        <f>IF(Datos!O136="muy_nuevo",'PANEL DE CONTROL'!$C$22,IF(Datos!O136="nuevo",'PANEL DE CONTROL'!$C$23,IF(Datos!O136="intermedio",'PANEL DE CONTROL'!$C$24,IF(Datos!O136="establecido",'PANEL DE CONTROL'!$C$25,'PANEL DE CONTROL'!$C$26))))</f>
        <v>0.5</v>
      </c>
      <c r="N136" s="30">
        <f>IF(Datos!J136&gt;=20,0.1,IF(Datos!J136&lt;5,-0.1,0))</f>
        <v>0</v>
      </c>
      <c r="O136" s="30">
        <f t="shared" si="3"/>
        <v>0.5</v>
      </c>
      <c r="P136" s="30">
        <f t="shared" si="4"/>
        <v>547.315</v>
      </c>
      <c r="Q136" s="30" t="str">
        <f>IF(P136&gt;='PANEL DE CONTROL'!$B$30,"A+",IF(P136&gt;='PANEL DE CONTROL'!$B$31,"A",IF(P136&gt;='PANEL DE CONTROL'!$B$32,"A-",IF(P136&gt;='PANEL DE CONTROL'!$B$33,"B+",IF(P136&gt;='PANEL DE CONTROL'!$B$34,"B",IF(P136&gt;='PANEL DE CONTROL'!$B$35,"B-",IF(P136&gt;='PANEL DE CONTROL'!$B$36,"C+",IF(P136&gt;='PANEL DE CONTROL'!$B$37,"C",IF(P136&gt;='PANEL DE CONTROL'!$B$38,"C-",IF(P136&gt;='PANEL DE CONTROL'!$B$39,"D+",IF(P136&gt;='PANEL DE CONTROL'!$B$40,"D","F")))))))))))</f>
        <v>C-</v>
      </c>
      <c r="R136" s="30" t="str">
        <f>Datos!I136</f>
        <v>C-</v>
      </c>
      <c r="S136" s="30">
        <f>P136-Datos!H136</f>
        <v>-0.005</v>
      </c>
      <c r="T136" s="30" t="str">
        <f t="shared" si="5"/>
        <v>Igual</v>
      </c>
      <c r="U136" s="30" t="str">
        <f>Datos!O136</f>
        <v>intermedio</v>
      </c>
      <c r="V136" s="30" t="str">
        <f>Datos!Q136</f>
        <v>regular</v>
      </c>
    </row>
    <row r="137" ht="15.75" customHeight="1">
      <c r="A137" s="30">
        <f>Datos!A137</f>
        <v>38406597</v>
      </c>
      <c r="B137" s="30">
        <f>Datos!B137</f>
        <v>200</v>
      </c>
      <c r="C137" s="30">
        <f>Datos!C137</f>
        <v>100</v>
      </c>
      <c r="D137" s="30">
        <f>Datos!D137</f>
        <v>125</v>
      </c>
      <c r="E137" s="30">
        <f>(B137/600)*'PANEL DE CONTROL'!$C$7</f>
        <v>200</v>
      </c>
      <c r="F137" s="30">
        <f>(C137/150)*'PANEL DE CONTROL'!$C$8</f>
        <v>100</v>
      </c>
      <c r="G137" s="30">
        <f>(D137/250)*'PANEL DE CONTROL'!$C$9</f>
        <v>125</v>
      </c>
      <c r="H137" s="30">
        <f t="shared" si="1"/>
        <v>425</v>
      </c>
      <c r="I137" s="30">
        <f>IF(Datos!K137&gt;30,'PANEL DE CONTROL'!$D$14,0)+IF(Datos!M137&gt;80,'PANEL DE CONTROL'!$D$15,0)</f>
        <v>0</v>
      </c>
      <c r="J137" s="30">
        <f>IF(Datos!L137&lt;10,'PANEL DE CONTROL'!$D$16,0)+IF(Datos!N137&gt;24,'PANEL DE CONTROL'!$D$17,0)</f>
        <v>0</v>
      </c>
      <c r="K137" s="30">
        <f t="shared" si="2"/>
        <v>425</v>
      </c>
      <c r="L137" s="30">
        <f>Datos!G137</f>
        <v>704.25</v>
      </c>
      <c r="M137" s="30">
        <f>IF(Datos!O137="muy_nuevo",'PANEL DE CONTROL'!$C$22,IF(Datos!O137="nuevo",'PANEL DE CONTROL'!$C$23,IF(Datos!O137="intermedio",'PANEL DE CONTROL'!$C$24,IF(Datos!O137="establecido",'PANEL DE CONTROL'!$C$25,'PANEL DE CONTROL'!$C$26))))</f>
        <v>0.4</v>
      </c>
      <c r="N137" s="30">
        <f>IF(Datos!J137&gt;=20,0.1,IF(Datos!J137&lt;5,-0.1,0))</f>
        <v>0.1</v>
      </c>
      <c r="O137" s="30">
        <f t="shared" si="3"/>
        <v>0.5</v>
      </c>
      <c r="P137" s="30">
        <f t="shared" si="4"/>
        <v>564.625</v>
      </c>
      <c r="Q137" s="30" t="str">
        <f>IF(P137&gt;='PANEL DE CONTROL'!$B$30,"A+",IF(P137&gt;='PANEL DE CONTROL'!$B$31,"A",IF(P137&gt;='PANEL DE CONTROL'!$B$32,"A-",IF(P137&gt;='PANEL DE CONTROL'!$B$33,"B+",IF(P137&gt;='PANEL DE CONTROL'!$B$34,"B",IF(P137&gt;='PANEL DE CONTROL'!$B$35,"B-",IF(P137&gt;='PANEL DE CONTROL'!$B$36,"C+",IF(P137&gt;='PANEL DE CONTROL'!$B$37,"C",IF(P137&gt;='PANEL DE CONTROL'!$B$38,"C-",IF(P137&gt;='PANEL DE CONTROL'!$B$39,"D+",IF(P137&gt;='PANEL DE CONTROL'!$B$40,"D","F")))))))))))</f>
        <v>C</v>
      </c>
      <c r="R137" s="30" t="str">
        <f>Datos!I137</f>
        <v>C</v>
      </c>
      <c r="S137" s="30">
        <f>P137-Datos!H137</f>
        <v>-27.925</v>
      </c>
      <c r="T137" s="30" t="str">
        <f t="shared" si="5"/>
        <v>Empeora</v>
      </c>
      <c r="U137" s="30" t="str">
        <f>Datos!O137</f>
        <v>nuevo</v>
      </c>
      <c r="V137" s="30" t="str">
        <f>Datos!Q137</f>
        <v>regular</v>
      </c>
    </row>
    <row r="138" ht="15.75" customHeight="1">
      <c r="A138" s="30">
        <f>Datos!A138</f>
        <v>33736605</v>
      </c>
      <c r="B138" s="30">
        <f>Datos!B138</f>
        <v>300</v>
      </c>
      <c r="C138" s="30">
        <f>Datos!C138</f>
        <v>100</v>
      </c>
      <c r="D138" s="30">
        <f>Datos!D138</f>
        <v>125</v>
      </c>
      <c r="E138" s="30">
        <f>(B138/600)*'PANEL DE CONTROL'!$C$7</f>
        <v>300</v>
      </c>
      <c r="F138" s="30">
        <f>(C138/150)*'PANEL DE CONTROL'!$C$8</f>
        <v>100</v>
      </c>
      <c r="G138" s="30">
        <f>(D138/250)*'PANEL DE CONTROL'!$C$9</f>
        <v>125</v>
      </c>
      <c r="H138" s="30">
        <f t="shared" si="1"/>
        <v>525</v>
      </c>
      <c r="I138" s="30">
        <f>IF(Datos!K138&gt;30,'PANEL DE CONTROL'!$D$14,0)+IF(Datos!M138&gt;80,'PANEL DE CONTROL'!$D$15,0)</f>
        <v>0</v>
      </c>
      <c r="J138" s="30">
        <f>IF(Datos!L138&lt;10,'PANEL DE CONTROL'!$D$16,0)+IF(Datos!N138&gt;24,'PANEL DE CONTROL'!$D$17,0)</f>
        <v>0</v>
      </c>
      <c r="K138" s="30">
        <f t="shared" si="2"/>
        <v>525</v>
      </c>
      <c r="L138" s="30">
        <f>Datos!G138</f>
        <v>674.83</v>
      </c>
      <c r="M138" s="30">
        <f>IF(Datos!O138="muy_nuevo",'PANEL DE CONTROL'!$C$22,IF(Datos!O138="nuevo",'PANEL DE CONTROL'!$C$23,IF(Datos!O138="intermedio",'PANEL DE CONTROL'!$C$24,IF(Datos!O138="establecido",'PANEL DE CONTROL'!$C$25,'PANEL DE CONTROL'!$C$26))))</f>
        <v>0.4</v>
      </c>
      <c r="N138" s="30">
        <f>IF(Datos!J138&gt;=20,0.1,IF(Datos!J138&lt;5,-0.1,0))</f>
        <v>0.1</v>
      </c>
      <c r="O138" s="30">
        <f t="shared" si="3"/>
        <v>0.5</v>
      </c>
      <c r="P138" s="30">
        <f t="shared" si="4"/>
        <v>599.915</v>
      </c>
      <c r="Q138" s="30" t="str">
        <f>IF(P138&gt;='PANEL DE CONTROL'!$B$30,"A+",IF(P138&gt;='PANEL DE CONTROL'!$B$31,"A",IF(P138&gt;='PANEL DE CONTROL'!$B$32,"A-",IF(P138&gt;='PANEL DE CONTROL'!$B$33,"B+",IF(P138&gt;='PANEL DE CONTROL'!$B$34,"B",IF(P138&gt;='PANEL DE CONTROL'!$B$35,"B-",IF(P138&gt;='PANEL DE CONTROL'!$B$36,"C+",IF(P138&gt;='PANEL DE CONTROL'!$B$37,"C",IF(P138&gt;='PANEL DE CONTROL'!$B$38,"C-",IF(P138&gt;='PANEL DE CONTROL'!$B$39,"D+",IF(P138&gt;='PANEL DE CONTROL'!$B$40,"D","F")))))))))))</f>
        <v>C</v>
      </c>
      <c r="R138" s="30" t="str">
        <f>Datos!I138</f>
        <v>C+</v>
      </c>
      <c r="S138" s="30">
        <f>P138-Datos!H138</f>
        <v>-14.985</v>
      </c>
      <c r="T138" s="30" t="str">
        <f t="shared" si="5"/>
        <v>Empeora</v>
      </c>
      <c r="U138" s="30" t="str">
        <f>Datos!O138</f>
        <v>nuevo</v>
      </c>
      <c r="V138" s="30" t="str">
        <f>Datos!Q138</f>
        <v>regular</v>
      </c>
    </row>
    <row r="139" ht="15.75" customHeight="1">
      <c r="A139" s="30">
        <f>Datos!A139</f>
        <v>32870957</v>
      </c>
      <c r="B139" s="30">
        <f>Datos!B139</f>
        <v>200</v>
      </c>
      <c r="C139" s="30">
        <f>Datos!C139</f>
        <v>100</v>
      </c>
      <c r="D139" s="30">
        <f>Datos!D139</f>
        <v>125</v>
      </c>
      <c r="E139" s="30">
        <f>(B139/600)*'PANEL DE CONTROL'!$C$7</f>
        <v>200</v>
      </c>
      <c r="F139" s="30">
        <f>(C139/150)*'PANEL DE CONTROL'!$C$8</f>
        <v>100</v>
      </c>
      <c r="G139" s="30">
        <f>(D139/250)*'PANEL DE CONTROL'!$C$9</f>
        <v>125</v>
      </c>
      <c r="H139" s="30">
        <f t="shared" si="1"/>
        <v>425</v>
      </c>
      <c r="I139" s="30">
        <f>IF(Datos!K139&gt;30,'PANEL DE CONTROL'!$D$14,0)+IF(Datos!M139&gt;80,'PANEL DE CONTROL'!$D$15,0)</f>
        <v>0</v>
      </c>
      <c r="J139" s="30">
        <f>IF(Datos!L139&lt;10,'PANEL DE CONTROL'!$D$16,0)+IF(Datos!N139&gt;24,'PANEL DE CONTROL'!$D$17,0)</f>
        <v>0</v>
      </c>
      <c r="K139" s="30">
        <f t="shared" si="2"/>
        <v>425</v>
      </c>
      <c r="L139" s="30">
        <f>Datos!G139</f>
        <v>604.98</v>
      </c>
      <c r="M139" s="30">
        <f>IF(Datos!O139="muy_nuevo",'PANEL DE CONTROL'!$C$22,IF(Datos!O139="nuevo",'PANEL DE CONTROL'!$C$23,IF(Datos!O139="intermedio",'PANEL DE CONTROL'!$C$24,IF(Datos!O139="establecido",'PANEL DE CONTROL'!$C$25,'PANEL DE CONTROL'!$C$26))))</f>
        <v>0.5</v>
      </c>
      <c r="N139" s="30">
        <f>IF(Datos!J139&gt;=20,0.1,IF(Datos!J139&lt;5,-0.1,0))</f>
        <v>0.1</v>
      </c>
      <c r="O139" s="30">
        <f t="shared" si="3"/>
        <v>0.6</v>
      </c>
      <c r="P139" s="30">
        <f t="shared" si="4"/>
        <v>496.992</v>
      </c>
      <c r="Q139" s="30" t="str">
        <f>IF(P139&gt;='PANEL DE CONTROL'!$B$30,"A+",IF(P139&gt;='PANEL DE CONTROL'!$B$31,"A",IF(P139&gt;='PANEL DE CONTROL'!$B$32,"A-",IF(P139&gt;='PANEL DE CONTROL'!$B$33,"B+",IF(P139&gt;='PANEL DE CONTROL'!$B$34,"B",IF(P139&gt;='PANEL DE CONTROL'!$B$35,"B-",IF(P139&gt;='PANEL DE CONTROL'!$B$36,"C+",IF(P139&gt;='PANEL DE CONTROL'!$B$37,"C",IF(P139&gt;='PANEL DE CONTROL'!$B$38,"C-",IF(P139&gt;='PANEL DE CONTROL'!$B$39,"D+",IF(P139&gt;='PANEL DE CONTROL'!$B$40,"D","F")))))))))))</f>
        <v>D+</v>
      </c>
      <c r="R139" s="30" t="str">
        <f>Datos!I139</f>
        <v>C-</v>
      </c>
      <c r="S139" s="30">
        <f>P139-Datos!H139</f>
        <v>-17.998</v>
      </c>
      <c r="T139" s="30" t="str">
        <f t="shared" si="5"/>
        <v>Empeora</v>
      </c>
      <c r="U139" s="30" t="str">
        <f>Datos!O139</f>
        <v>intermedio</v>
      </c>
      <c r="V139" s="30" t="str">
        <f>Datos!Q139</f>
        <v>regular</v>
      </c>
    </row>
    <row r="140" ht="15.75" customHeight="1">
      <c r="A140" s="30">
        <f>Datos!A140</f>
        <v>19521634</v>
      </c>
      <c r="B140" s="30">
        <f>Datos!B140</f>
        <v>200</v>
      </c>
      <c r="C140" s="30">
        <f>Datos!C140</f>
        <v>150</v>
      </c>
      <c r="D140" s="30">
        <f>Datos!D140</f>
        <v>75</v>
      </c>
      <c r="E140" s="30">
        <f>(B140/600)*'PANEL DE CONTROL'!$C$7</f>
        <v>200</v>
      </c>
      <c r="F140" s="30">
        <f>(C140/150)*'PANEL DE CONTROL'!$C$8</f>
        <v>150</v>
      </c>
      <c r="G140" s="30">
        <f>(D140/250)*'PANEL DE CONTROL'!$C$9</f>
        <v>75</v>
      </c>
      <c r="H140" s="30">
        <f t="shared" si="1"/>
        <v>425</v>
      </c>
      <c r="I140" s="30">
        <f>IF(Datos!K140&gt;30,'PANEL DE CONTROL'!$D$14,0)+IF(Datos!M140&gt;80,'PANEL DE CONTROL'!$D$15,0)</f>
        <v>0</v>
      </c>
      <c r="J140" s="30">
        <f>IF(Datos!L140&lt;10,'PANEL DE CONTROL'!$D$16,0)+IF(Datos!N140&gt;24,'PANEL DE CONTROL'!$D$17,0)</f>
        <v>0</v>
      </c>
      <c r="K140" s="30">
        <f t="shared" si="2"/>
        <v>425</v>
      </c>
      <c r="L140" s="30">
        <f>Datos!G140</f>
        <v>742.73</v>
      </c>
      <c r="M140" s="30">
        <f>IF(Datos!O140="muy_nuevo",'PANEL DE CONTROL'!$C$22,IF(Datos!O140="nuevo",'PANEL DE CONTROL'!$C$23,IF(Datos!O140="intermedio",'PANEL DE CONTROL'!$C$24,IF(Datos!O140="establecido",'PANEL DE CONTROL'!$C$25,'PANEL DE CONTROL'!$C$26))))</f>
        <v>0.5</v>
      </c>
      <c r="N140" s="30">
        <f>IF(Datos!J140&gt;=20,0.1,IF(Datos!J140&lt;5,-0.1,0))</f>
        <v>0</v>
      </c>
      <c r="O140" s="30">
        <f t="shared" si="3"/>
        <v>0.5</v>
      </c>
      <c r="P140" s="30">
        <f t="shared" si="4"/>
        <v>583.865</v>
      </c>
      <c r="Q140" s="30" t="str">
        <f>IF(P140&gt;='PANEL DE CONTROL'!$B$30,"A+",IF(P140&gt;='PANEL DE CONTROL'!$B$31,"A",IF(P140&gt;='PANEL DE CONTROL'!$B$32,"A-",IF(P140&gt;='PANEL DE CONTROL'!$B$33,"B+",IF(P140&gt;='PANEL DE CONTROL'!$B$34,"B",IF(P140&gt;='PANEL DE CONTROL'!$B$35,"B-",IF(P140&gt;='PANEL DE CONTROL'!$B$36,"C+",IF(P140&gt;='PANEL DE CONTROL'!$B$37,"C",IF(P140&gt;='PANEL DE CONTROL'!$B$38,"C-",IF(P140&gt;='PANEL DE CONTROL'!$B$39,"D+",IF(P140&gt;='PANEL DE CONTROL'!$B$40,"D","F")))))))))))</f>
        <v>C</v>
      </c>
      <c r="R140" s="30" t="str">
        <f>Datos!I140</f>
        <v>C</v>
      </c>
      <c r="S140" s="30">
        <f>P140-Datos!H140</f>
        <v>-0.005</v>
      </c>
      <c r="T140" s="30" t="str">
        <f t="shared" si="5"/>
        <v>Igual</v>
      </c>
      <c r="U140" s="30" t="str">
        <f>Datos!O140</f>
        <v>intermedio</v>
      </c>
      <c r="V140" s="30" t="str">
        <f>Datos!Q140</f>
        <v>regular</v>
      </c>
    </row>
    <row r="141" ht="15.75" customHeight="1">
      <c r="A141" s="30">
        <f>Datos!A141</f>
        <v>34674034</v>
      </c>
      <c r="B141" s="30">
        <f>Datos!B141</f>
        <v>300</v>
      </c>
      <c r="C141" s="30">
        <f>Datos!C141</f>
        <v>100</v>
      </c>
      <c r="D141" s="30">
        <f>Datos!D141</f>
        <v>125</v>
      </c>
      <c r="E141" s="30">
        <f>(B141/600)*'PANEL DE CONTROL'!$C$7</f>
        <v>300</v>
      </c>
      <c r="F141" s="30">
        <f>(C141/150)*'PANEL DE CONTROL'!$C$8</f>
        <v>100</v>
      </c>
      <c r="G141" s="30">
        <f>(D141/250)*'PANEL DE CONTROL'!$C$9</f>
        <v>125</v>
      </c>
      <c r="H141" s="30">
        <f t="shared" si="1"/>
        <v>525</v>
      </c>
      <c r="I141" s="30">
        <f>IF(Datos!K141&gt;30,'PANEL DE CONTROL'!$D$14,0)+IF(Datos!M141&gt;80,'PANEL DE CONTROL'!$D$15,0)</f>
        <v>0</v>
      </c>
      <c r="J141" s="30">
        <f>IF(Datos!L141&lt;10,'PANEL DE CONTROL'!$D$16,0)+IF(Datos!N141&gt;24,'PANEL DE CONTROL'!$D$17,0)</f>
        <v>0</v>
      </c>
      <c r="K141" s="30">
        <f t="shared" si="2"/>
        <v>525</v>
      </c>
      <c r="L141" s="30">
        <f>Datos!G141</f>
        <v>717.51</v>
      </c>
      <c r="M141" s="30">
        <f>IF(Datos!O141="muy_nuevo",'PANEL DE CONTROL'!$C$22,IF(Datos!O141="nuevo",'PANEL DE CONTROL'!$C$23,IF(Datos!O141="intermedio",'PANEL DE CONTROL'!$C$24,IF(Datos!O141="establecido",'PANEL DE CONTROL'!$C$25,'PANEL DE CONTROL'!$C$26))))</f>
        <v>0.4</v>
      </c>
      <c r="N141" s="30">
        <f>IF(Datos!J141&gt;=20,0.1,IF(Datos!J141&lt;5,-0.1,0))</f>
        <v>0</v>
      </c>
      <c r="O141" s="30">
        <f t="shared" si="3"/>
        <v>0.4</v>
      </c>
      <c r="P141" s="30">
        <f t="shared" si="4"/>
        <v>640.506</v>
      </c>
      <c r="Q141" s="30" t="str">
        <f>IF(P141&gt;='PANEL DE CONTROL'!$B$30,"A+",IF(P141&gt;='PANEL DE CONTROL'!$B$31,"A",IF(P141&gt;='PANEL DE CONTROL'!$B$32,"A-",IF(P141&gt;='PANEL DE CONTROL'!$B$33,"B+",IF(P141&gt;='PANEL DE CONTROL'!$B$34,"B",IF(P141&gt;='PANEL DE CONTROL'!$B$35,"B-",IF(P141&gt;='PANEL DE CONTROL'!$B$36,"C+",IF(P141&gt;='PANEL DE CONTROL'!$B$37,"C",IF(P141&gt;='PANEL DE CONTROL'!$B$38,"C-",IF(P141&gt;='PANEL DE CONTROL'!$B$39,"D+",IF(P141&gt;='PANEL DE CONTROL'!$B$40,"D","F")))))))))))</f>
        <v>C+</v>
      </c>
      <c r="R141" s="30" t="str">
        <f>Datos!I141</f>
        <v>C+</v>
      </c>
      <c r="S141" s="30">
        <f>P141-Datos!H141</f>
        <v>-0.004</v>
      </c>
      <c r="T141" s="30" t="str">
        <f t="shared" si="5"/>
        <v>Igual</v>
      </c>
      <c r="U141" s="30" t="str">
        <f>Datos!O141</f>
        <v>nuevo</v>
      </c>
      <c r="V141" s="30" t="str">
        <f>Datos!Q141</f>
        <v>regular</v>
      </c>
    </row>
    <row r="142" ht="15.75" customHeight="1">
      <c r="A142" s="30">
        <f>Datos!A142</f>
        <v>27859840</v>
      </c>
      <c r="B142" s="30">
        <f>Datos!B142</f>
        <v>200</v>
      </c>
      <c r="C142" s="30">
        <f>Datos!C142</f>
        <v>50</v>
      </c>
      <c r="D142" s="30">
        <f>Datos!D142</f>
        <v>50</v>
      </c>
      <c r="E142" s="30">
        <f>(B142/600)*'PANEL DE CONTROL'!$C$7</f>
        <v>200</v>
      </c>
      <c r="F142" s="30">
        <f>(C142/150)*'PANEL DE CONTROL'!$C$8</f>
        <v>50</v>
      </c>
      <c r="G142" s="30">
        <f>(D142/250)*'PANEL DE CONTROL'!$C$9</f>
        <v>50</v>
      </c>
      <c r="H142" s="30">
        <f t="shared" si="1"/>
        <v>300</v>
      </c>
      <c r="I142" s="30">
        <f>IF(Datos!K142&gt;30,'PANEL DE CONTROL'!$D$14,0)+IF(Datos!M142&gt;80,'PANEL DE CONTROL'!$D$15,0)</f>
        <v>0</v>
      </c>
      <c r="J142" s="30">
        <f>IF(Datos!L142&lt;10,'PANEL DE CONTROL'!$D$16,0)+IF(Datos!N142&gt;24,'PANEL DE CONTROL'!$D$17,0)</f>
        <v>0</v>
      </c>
      <c r="K142" s="30">
        <f t="shared" si="2"/>
        <v>300</v>
      </c>
      <c r="L142" s="30">
        <f>Datos!G142</f>
        <v>546.32</v>
      </c>
      <c r="M142" s="30">
        <f>IF(Datos!O142="muy_nuevo",'PANEL DE CONTROL'!$C$22,IF(Datos!O142="nuevo",'PANEL DE CONTROL'!$C$23,IF(Datos!O142="intermedio",'PANEL DE CONTROL'!$C$24,IF(Datos!O142="establecido",'PANEL DE CONTROL'!$C$25,'PANEL DE CONTROL'!$C$26))))</f>
        <v>0.4</v>
      </c>
      <c r="N142" s="30">
        <f>IF(Datos!J142&gt;=20,0.1,IF(Datos!J142&lt;5,-0.1,0))</f>
        <v>0</v>
      </c>
      <c r="O142" s="30">
        <f t="shared" si="3"/>
        <v>0.4</v>
      </c>
      <c r="P142" s="30">
        <f t="shared" si="4"/>
        <v>447.792</v>
      </c>
      <c r="Q142" s="30" t="str">
        <f>IF(P142&gt;='PANEL DE CONTROL'!$B$30,"A+",IF(P142&gt;='PANEL DE CONTROL'!$B$31,"A",IF(P142&gt;='PANEL DE CONTROL'!$B$32,"A-",IF(P142&gt;='PANEL DE CONTROL'!$B$33,"B+",IF(P142&gt;='PANEL DE CONTROL'!$B$34,"B",IF(P142&gt;='PANEL DE CONTROL'!$B$35,"B-",IF(P142&gt;='PANEL DE CONTROL'!$B$36,"C+",IF(P142&gt;='PANEL DE CONTROL'!$B$37,"C",IF(P142&gt;='PANEL DE CONTROL'!$B$38,"C-",IF(P142&gt;='PANEL DE CONTROL'!$B$39,"D+",IF(P142&gt;='PANEL DE CONTROL'!$B$40,"D","F")))))))))))</f>
        <v>D</v>
      </c>
      <c r="R142" s="30" t="str">
        <f>Datos!I142</f>
        <v>D</v>
      </c>
      <c r="S142" s="30">
        <f>P142-Datos!H142</f>
        <v>0.002</v>
      </c>
      <c r="T142" s="30" t="str">
        <f t="shared" si="5"/>
        <v>Igual</v>
      </c>
      <c r="U142" s="30" t="str">
        <f>Datos!O142</f>
        <v>nuevo</v>
      </c>
      <c r="V142" s="30" t="str">
        <f>Datos!Q142</f>
        <v>malo</v>
      </c>
    </row>
    <row r="143" ht="15.75" customHeight="1">
      <c r="A143" s="30">
        <f>Datos!A143</f>
        <v>56007090</v>
      </c>
      <c r="B143" s="30">
        <f>Datos!B143</f>
        <v>100</v>
      </c>
      <c r="C143" s="30">
        <f>Datos!C143</f>
        <v>0</v>
      </c>
      <c r="D143" s="30">
        <f>Datos!D143</f>
        <v>75</v>
      </c>
      <c r="E143" s="30">
        <f>(B143/600)*'PANEL DE CONTROL'!$C$7</f>
        <v>100</v>
      </c>
      <c r="F143" s="30">
        <f>(C143/150)*'PANEL DE CONTROL'!$C$8</f>
        <v>0</v>
      </c>
      <c r="G143" s="30">
        <f>(D143/250)*'PANEL DE CONTROL'!$C$9</f>
        <v>75</v>
      </c>
      <c r="H143" s="30">
        <f t="shared" si="1"/>
        <v>175</v>
      </c>
      <c r="I143" s="30">
        <f>IF(Datos!K143&gt;30,'PANEL DE CONTROL'!$D$14,0)+IF(Datos!M143&gt;80,'PANEL DE CONTROL'!$D$15,0)</f>
        <v>0</v>
      </c>
      <c r="J143" s="30">
        <f>IF(Datos!L143&lt;10,'PANEL DE CONTROL'!$D$16,0)+IF(Datos!N143&gt;24,'PANEL DE CONTROL'!$D$17,0)</f>
        <v>0</v>
      </c>
      <c r="K143" s="30">
        <f t="shared" si="2"/>
        <v>175</v>
      </c>
      <c r="L143" s="30">
        <f>Datos!G143</f>
        <v>574.37</v>
      </c>
      <c r="M143" s="30">
        <f>IF(Datos!O143="muy_nuevo",'PANEL DE CONTROL'!$C$22,IF(Datos!O143="nuevo",'PANEL DE CONTROL'!$C$23,IF(Datos!O143="intermedio",'PANEL DE CONTROL'!$C$24,IF(Datos!O143="establecido",'PANEL DE CONTROL'!$C$25,'PANEL DE CONTROL'!$C$26))))</f>
        <v>0.3</v>
      </c>
      <c r="N143" s="30">
        <f>IF(Datos!J143&gt;=20,0.1,IF(Datos!J143&lt;5,-0.1,0))</f>
        <v>0.1</v>
      </c>
      <c r="O143" s="30">
        <f t="shared" si="3"/>
        <v>0.4</v>
      </c>
      <c r="P143" s="30">
        <f t="shared" si="4"/>
        <v>414.622</v>
      </c>
      <c r="Q143" s="30" t="str">
        <f>IF(P143&gt;='PANEL DE CONTROL'!$B$30,"A+",IF(P143&gt;='PANEL DE CONTROL'!$B$31,"A",IF(P143&gt;='PANEL DE CONTROL'!$B$32,"A-",IF(P143&gt;='PANEL DE CONTROL'!$B$33,"B+",IF(P143&gt;='PANEL DE CONTROL'!$B$34,"B",IF(P143&gt;='PANEL DE CONTROL'!$B$35,"B-",IF(P143&gt;='PANEL DE CONTROL'!$B$36,"C+",IF(P143&gt;='PANEL DE CONTROL'!$B$37,"C",IF(P143&gt;='PANEL DE CONTROL'!$B$38,"C-",IF(P143&gt;='PANEL DE CONTROL'!$B$39,"D+",IF(P143&gt;='PANEL DE CONTROL'!$B$40,"D","F")))))))))))</f>
        <v>D</v>
      </c>
      <c r="R143" s="30" t="str">
        <f>Datos!I143</f>
        <v>D</v>
      </c>
      <c r="S143" s="30">
        <f>P143-Datos!H143</f>
        <v>-39.938</v>
      </c>
      <c r="T143" s="30" t="str">
        <f t="shared" si="5"/>
        <v>Empeora</v>
      </c>
      <c r="U143" s="30" t="str">
        <f>Datos!O143</f>
        <v>muy_nuevo</v>
      </c>
      <c r="V143" s="30" t="str">
        <f>Datos!Q143</f>
        <v>malo</v>
      </c>
    </row>
    <row r="144" ht="15.75" customHeight="1">
      <c r="A144" s="30">
        <f>Datos!A144</f>
        <v>65533520</v>
      </c>
      <c r="B144" s="30">
        <f>Datos!B144</f>
        <v>100</v>
      </c>
      <c r="C144" s="30">
        <f>Datos!C144</f>
        <v>50</v>
      </c>
      <c r="D144" s="30">
        <f>Datos!D144</f>
        <v>75</v>
      </c>
      <c r="E144" s="30">
        <f>(B144/600)*'PANEL DE CONTROL'!$C$7</f>
        <v>100</v>
      </c>
      <c r="F144" s="30">
        <f>(C144/150)*'PANEL DE CONTROL'!$C$8</f>
        <v>50</v>
      </c>
      <c r="G144" s="30">
        <f>(D144/250)*'PANEL DE CONTROL'!$C$9</f>
        <v>75</v>
      </c>
      <c r="H144" s="30">
        <f t="shared" si="1"/>
        <v>225</v>
      </c>
      <c r="I144" s="30">
        <f>IF(Datos!K144&gt;30,'PANEL DE CONTROL'!$D$14,0)+IF(Datos!M144&gt;80,'PANEL DE CONTROL'!$D$15,0)</f>
        <v>0</v>
      </c>
      <c r="J144" s="30">
        <f>IF(Datos!L144&lt;10,'PANEL DE CONTROL'!$D$16,0)+IF(Datos!N144&gt;24,'PANEL DE CONTROL'!$D$17,0)</f>
        <v>0</v>
      </c>
      <c r="K144" s="30">
        <f t="shared" si="2"/>
        <v>225</v>
      </c>
      <c r="L144" s="30">
        <f>Datos!G144</f>
        <v>416.31</v>
      </c>
      <c r="M144" s="30">
        <f>IF(Datos!O144="muy_nuevo",'PANEL DE CONTROL'!$C$22,IF(Datos!O144="nuevo",'PANEL DE CONTROL'!$C$23,IF(Datos!O144="intermedio",'PANEL DE CONTROL'!$C$24,IF(Datos!O144="establecido",'PANEL DE CONTROL'!$C$25,'PANEL DE CONTROL'!$C$26))))</f>
        <v>0.3</v>
      </c>
      <c r="N144" s="30">
        <f>IF(Datos!J144&gt;=20,0.1,IF(Datos!J144&lt;5,-0.1,0))</f>
        <v>0.1</v>
      </c>
      <c r="O144" s="30">
        <f t="shared" si="3"/>
        <v>0.4</v>
      </c>
      <c r="P144" s="30">
        <f t="shared" si="4"/>
        <v>339.786</v>
      </c>
      <c r="Q144" s="30" t="str">
        <f>IF(P144&gt;='PANEL DE CONTROL'!$B$30,"A+",IF(P144&gt;='PANEL DE CONTROL'!$B$31,"A",IF(P144&gt;='PANEL DE CONTROL'!$B$32,"A-",IF(P144&gt;='PANEL DE CONTROL'!$B$33,"B+",IF(P144&gt;='PANEL DE CONTROL'!$B$34,"B",IF(P144&gt;='PANEL DE CONTROL'!$B$35,"B-",IF(P144&gt;='PANEL DE CONTROL'!$B$36,"C+",IF(P144&gt;='PANEL DE CONTROL'!$B$37,"C",IF(P144&gt;='PANEL DE CONTROL'!$B$38,"C-",IF(P144&gt;='PANEL DE CONTROL'!$B$39,"D+",IF(P144&gt;='PANEL DE CONTROL'!$B$40,"D","F")))))))))))</f>
        <v>F</v>
      </c>
      <c r="R144" s="30" t="str">
        <f>Datos!I144</f>
        <v>F</v>
      </c>
      <c r="S144" s="30">
        <f>P144-Datos!H144</f>
        <v>-19.124</v>
      </c>
      <c r="T144" s="30" t="str">
        <f t="shared" si="5"/>
        <v>Empeora</v>
      </c>
      <c r="U144" s="30" t="str">
        <f>Datos!O144</f>
        <v>muy_nuevo</v>
      </c>
      <c r="V144" s="30" t="str">
        <f>Datos!Q144</f>
        <v>malo</v>
      </c>
    </row>
    <row r="145" ht="15.75" customHeight="1">
      <c r="A145" s="30">
        <f>Datos!A145</f>
        <v>24228803</v>
      </c>
      <c r="B145" s="30">
        <f>Datos!B145</f>
        <v>100</v>
      </c>
      <c r="C145" s="30">
        <f>Datos!C145</f>
        <v>0</v>
      </c>
      <c r="D145" s="30">
        <f>Datos!D145</f>
        <v>75</v>
      </c>
      <c r="E145" s="30">
        <f>(B145/600)*'PANEL DE CONTROL'!$C$7</f>
        <v>100</v>
      </c>
      <c r="F145" s="30">
        <f>(C145/150)*'PANEL DE CONTROL'!$C$8</f>
        <v>0</v>
      </c>
      <c r="G145" s="30">
        <f>(D145/250)*'PANEL DE CONTROL'!$C$9</f>
        <v>75</v>
      </c>
      <c r="H145" s="30">
        <f t="shared" si="1"/>
        <v>175</v>
      </c>
      <c r="I145" s="30">
        <f>IF(Datos!K145&gt;30,'PANEL DE CONTROL'!$D$14,0)+IF(Datos!M145&gt;80,'PANEL DE CONTROL'!$D$15,0)</f>
        <v>0</v>
      </c>
      <c r="J145" s="30">
        <f>IF(Datos!L145&lt;10,'PANEL DE CONTROL'!$D$16,0)+IF(Datos!N145&gt;24,'PANEL DE CONTROL'!$D$17,0)</f>
        <v>0</v>
      </c>
      <c r="K145" s="30">
        <f t="shared" si="2"/>
        <v>175</v>
      </c>
      <c r="L145" s="30">
        <f>Datos!G145</f>
        <v>485.1</v>
      </c>
      <c r="M145" s="30">
        <f>IF(Datos!O145="muy_nuevo",'PANEL DE CONTROL'!$C$22,IF(Datos!O145="nuevo",'PANEL DE CONTROL'!$C$23,IF(Datos!O145="intermedio",'PANEL DE CONTROL'!$C$24,IF(Datos!O145="establecido",'PANEL DE CONTROL'!$C$25,'PANEL DE CONTROL'!$C$26))))</f>
        <v>0.4</v>
      </c>
      <c r="N145" s="30">
        <f>IF(Datos!J145&gt;=20,0.1,IF(Datos!J145&lt;5,-0.1,0))</f>
        <v>0.1</v>
      </c>
      <c r="O145" s="30">
        <f t="shared" si="3"/>
        <v>0.5</v>
      </c>
      <c r="P145" s="30">
        <f t="shared" si="4"/>
        <v>330.05</v>
      </c>
      <c r="Q145" s="30" t="str">
        <f>IF(P145&gt;='PANEL DE CONTROL'!$B$30,"A+",IF(P145&gt;='PANEL DE CONTROL'!$B$31,"A",IF(P145&gt;='PANEL DE CONTROL'!$B$32,"A-",IF(P145&gt;='PANEL DE CONTROL'!$B$33,"B+",IF(P145&gt;='PANEL DE CONTROL'!$B$34,"B",IF(P145&gt;='PANEL DE CONTROL'!$B$35,"B-",IF(P145&gt;='PANEL DE CONTROL'!$B$36,"C+",IF(P145&gt;='PANEL DE CONTROL'!$B$37,"C",IF(P145&gt;='PANEL DE CONTROL'!$B$38,"C-",IF(P145&gt;='PANEL DE CONTROL'!$B$39,"D+",IF(P145&gt;='PANEL DE CONTROL'!$B$40,"D","F")))))))))))</f>
        <v>F</v>
      </c>
      <c r="R145" s="30" t="str">
        <f>Datos!I145</f>
        <v>F</v>
      </c>
      <c r="S145" s="30">
        <f>P145-Datos!H145</f>
        <v>-31.01</v>
      </c>
      <c r="T145" s="30" t="str">
        <f t="shared" si="5"/>
        <v>Empeora</v>
      </c>
      <c r="U145" s="30" t="str">
        <f>Datos!O145</f>
        <v>nuevo</v>
      </c>
      <c r="V145" s="30" t="str">
        <f>Datos!Q145</f>
        <v>malo</v>
      </c>
    </row>
    <row r="146" ht="15.75" customHeight="1">
      <c r="A146" s="30">
        <f>Datos!A146</f>
        <v>20705762</v>
      </c>
      <c r="B146" s="30">
        <f>Datos!B146</f>
        <v>200</v>
      </c>
      <c r="C146" s="30">
        <f>Datos!C146</f>
        <v>50</v>
      </c>
      <c r="D146" s="30">
        <f>Datos!D146</f>
        <v>50</v>
      </c>
      <c r="E146" s="30">
        <f>(B146/600)*'PANEL DE CONTROL'!$C$7</f>
        <v>200</v>
      </c>
      <c r="F146" s="30">
        <f>(C146/150)*'PANEL DE CONTROL'!$C$8</f>
        <v>50</v>
      </c>
      <c r="G146" s="30">
        <f>(D146/250)*'PANEL DE CONTROL'!$C$9</f>
        <v>50</v>
      </c>
      <c r="H146" s="30">
        <f t="shared" si="1"/>
        <v>300</v>
      </c>
      <c r="I146" s="30">
        <f>IF(Datos!K146&gt;30,'PANEL DE CONTROL'!$D$14,0)+IF(Datos!M146&gt;80,'PANEL DE CONTROL'!$D$15,0)</f>
        <v>0</v>
      </c>
      <c r="J146" s="30">
        <f>IF(Datos!L146&lt;10,'PANEL DE CONTROL'!$D$16,0)+IF(Datos!N146&gt;24,'PANEL DE CONTROL'!$D$17,0)</f>
        <v>0</v>
      </c>
      <c r="K146" s="30">
        <f t="shared" si="2"/>
        <v>300</v>
      </c>
      <c r="L146" s="30">
        <f>Datos!G146</f>
        <v>497.33</v>
      </c>
      <c r="M146" s="30">
        <f>IF(Datos!O146="muy_nuevo",'PANEL DE CONTROL'!$C$22,IF(Datos!O146="nuevo",'PANEL DE CONTROL'!$C$23,IF(Datos!O146="intermedio",'PANEL DE CONTROL'!$C$24,IF(Datos!O146="establecido",'PANEL DE CONTROL'!$C$25,'PANEL DE CONTROL'!$C$26))))</f>
        <v>0.3</v>
      </c>
      <c r="N146" s="30">
        <f>IF(Datos!J146&gt;=20,0.1,IF(Datos!J146&lt;5,-0.1,0))</f>
        <v>0.1</v>
      </c>
      <c r="O146" s="30">
        <f t="shared" si="3"/>
        <v>0.4</v>
      </c>
      <c r="P146" s="30">
        <f t="shared" si="4"/>
        <v>418.398</v>
      </c>
      <c r="Q146" s="30" t="str">
        <f>IF(P146&gt;='PANEL DE CONTROL'!$B$30,"A+",IF(P146&gt;='PANEL DE CONTROL'!$B$31,"A",IF(P146&gt;='PANEL DE CONTROL'!$B$32,"A-",IF(P146&gt;='PANEL DE CONTROL'!$B$33,"B+",IF(P146&gt;='PANEL DE CONTROL'!$B$34,"B",IF(P146&gt;='PANEL DE CONTROL'!$B$35,"B-",IF(P146&gt;='PANEL DE CONTROL'!$B$36,"C+",IF(P146&gt;='PANEL DE CONTROL'!$B$37,"C",IF(P146&gt;='PANEL DE CONTROL'!$B$38,"C-",IF(P146&gt;='PANEL DE CONTROL'!$B$39,"D+",IF(P146&gt;='PANEL DE CONTROL'!$B$40,"D","F")))))))))))</f>
        <v>D</v>
      </c>
      <c r="R146" s="30" t="str">
        <f>Datos!I146</f>
        <v>D</v>
      </c>
      <c r="S146" s="30">
        <f>P146-Datos!H146</f>
        <v>-19.732</v>
      </c>
      <c r="T146" s="30" t="str">
        <f t="shared" si="5"/>
        <v>Empeora</v>
      </c>
      <c r="U146" s="30" t="str">
        <f>Datos!O146</f>
        <v>muy_nuevo</v>
      </c>
      <c r="V146" s="30" t="str">
        <f>Datos!Q146</f>
        <v>malo</v>
      </c>
    </row>
    <row r="147" ht="15.75" customHeight="1">
      <c r="A147" s="30">
        <f>Datos!A147</f>
        <v>78264448</v>
      </c>
      <c r="B147" s="30">
        <f>Datos!B147</f>
        <v>200</v>
      </c>
      <c r="C147" s="30">
        <f>Datos!C147</f>
        <v>50</v>
      </c>
      <c r="D147" s="30">
        <f>Datos!D147</f>
        <v>75</v>
      </c>
      <c r="E147" s="30">
        <f>(B147/600)*'PANEL DE CONTROL'!$C$7</f>
        <v>200</v>
      </c>
      <c r="F147" s="30">
        <f>(C147/150)*'PANEL DE CONTROL'!$C$8</f>
        <v>50</v>
      </c>
      <c r="G147" s="30">
        <f>(D147/250)*'PANEL DE CONTROL'!$C$9</f>
        <v>75</v>
      </c>
      <c r="H147" s="30">
        <f t="shared" si="1"/>
        <v>325</v>
      </c>
      <c r="I147" s="30">
        <f>IF(Datos!K147&gt;30,'PANEL DE CONTROL'!$D$14,0)+IF(Datos!M147&gt;80,'PANEL DE CONTROL'!$D$15,0)</f>
        <v>0</v>
      </c>
      <c r="J147" s="30">
        <f>IF(Datos!L147&lt;10,'PANEL DE CONTROL'!$D$16,0)+IF(Datos!N147&gt;24,'PANEL DE CONTROL'!$D$17,0)</f>
        <v>0</v>
      </c>
      <c r="K147" s="30">
        <f t="shared" si="2"/>
        <v>325</v>
      </c>
      <c r="L147" s="30">
        <f>Datos!G147</f>
        <v>526.31</v>
      </c>
      <c r="M147" s="30">
        <f>IF(Datos!O147="muy_nuevo",'PANEL DE CONTROL'!$C$22,IF(Datos!O147="nuevo",'PANEL DE CONTROL'!$C$23,IF(Datos!O147="intermedio",'PANEL DE CONTROL'!$C$24,IF(Datos!O147="establecido",'PANEL DE CONTROL'!$C$25,'PANEL DE CONTROL'!$C$26))))</f>
        <v>0.3</v>
      </c>
      <c r="N147" s="30">
        <f>IF(Datos!J147&gt;=20,0.1,IF(Datos!J147&lt;5,-0.1,0))</f>
        <v>0.1</v>
      </c>
      <c r="O147" s="30">
        <f t="shared" si="3"/>
        <v>0.4</v>
      </c>
      <c r="P147" s="30">
        <f t="shared" si="4"/>
        <v>445.786</v>
      </c>
      <c r="Q147" s="30" t="str">
        <f>IF(P147&gt;='PANEL DE CONTROL'!$B$30,"A+",IF(P147&gt;='PANEL DE CONTROL'!$B$31,"A",IF(P147&gt;='PANEL DE CONTROL'!$B$32,"A-",IF(P147&gt;='PANEL DE CONTROL'!$B$33,"B+",IF(P147&gt;='PANEL DE CONTROL'!$B$34,"B",IF(P147&gt;='PANEL DE CONTROL'!$B$35,"B-",IF(P147&gt;='PANEL DE CONTROL'!$B$36,"C+",IF(P147&gt;='PANEL DE CONTROL'!$B$37,"C",IF(P147&gt;='PANEL DE CONTROL'!$B$38,"C-",IF(P147&gt;='PANEL DE CONTROL'!$B$39,"D+",IF(P147&gt;='PANEL DE CONTROL'!$B$40,"D","F")))))))))))</f>
        <v>D</v>
      </c>
      <c r="R147" s="30" t="str">
        <f>Datos!I147</f>
        <v>D</v>
      </c>
      <c r="S147" s="30">
        <f>P147-Datos!H147</f>
        <v>-20.134</v>
      </c>
      <c r="T147" s="30" t="str">
        <f t="shared" si="5"/>
        <v>Empeora</v>
      </c>
      <c r="U147" s="30" t="str">
        <f>Datos!O147</f>
        <v>muy_nuevo</v>
      </c>
      <c r="V147" s="30" t="str">
        <f>Datos!Q147</f>
        <v>malo</v>
      </c>
    </row>
    <row r="148" ht="15.75" customHeight="1">
      <c r="A148" s="30">
        <f>Datos!A148</f>
        <v>81111722</v>
      </c>
      <c r="B148" s="30">
        <f>Datos!B148</f>
        <v>200</v>
      </c>
      <c r="C148" s="30">
        <f>Datos!C148</f>
        <v>0</v>
      </c>
      <c r="D148" s="30">
        <f>Datos!D148</f>
        <v>75</v>
      </c>
      <c r="E148" s="30">
        <f>(B148/600)*'PANEL DE CONTROL'!$C$7</f>
        <v>200</v>
      </c>
      <c r="F148" s="30">
        <f>(C148/150)*'PANEL DE CONTROL'!$C$8</f>
        <v>0</v>
      </c>
      <c r="G148" s="30">
        <f>(D148/250)*'PANEL DE CONTROL'!$C$9</f>
        <v>75</v>
      </c>
      <c r="H148" s="30">
        <f t="shared" si="1"/>
        <v>275</v>
      </c>
      <c r="I148" s="30">
        <f>IF(Datos!K148&gt;30,'PANEL DE CONTROL'!$D$14,0)+IF(Datos!M148&gt;80,'PANEL DE CONTROL'!$D$15,0)</f>
        <v>0</v>
      </c>
      <c r="J148" s="30">
        <f>IF(Datos!L148&lt;10,'PANEL DE CONTROL'!$D$16,0)+IF(Datos!N148&gt;24,'PANEL DE CONTROL'!$D$17,0)</f>
        <v>0</v>
      </c>
      <c r="K148" s="30">
        <f t="shared" si="2"/>
        <v>275</v>
      </c>
      <c r="L148" s="30">
        <f>Datos!G148</f>
        <v>570.88</v>
      </c>
      <c r="M148" s="30">
        <f>IF(Datos!O148="muy_nuevo",'PANEL DE CONTROL'!$C$22,IF(Datos!O148="nuevo",'PANEL DE CONTROL'!$C$23,IF(Datos!O148="intermedio",'PANEL DE CONTROL'!$C$24,IF(Datos!O148="establecido",'PANEL DE CONTROL'!$C$25,'PANEL DE CONTROL'!$C$26))))</f>
        <v>0.3</v>
      </c>
      <c r="N148" s="30">
        <f>IF(Datos!J148&gt;=20,0.1,IF(Datos!J148&lt;5,-0.1,0))</f>
        <v>0</v>
      </c>
      <c r="O148" s="30">
        <f t="shared" si="3"/>
        <v>0.3</v>
      </c>
      <c r="P148" s="30">
        <f t="shared" si="4"/>
        <v>482.116</v>
      </c>
      <c r="Q148" s="30" t="str">
        <f>IF(P148&gt;='PANEL DE CONTROL'!$B$30,"A+",IF(P148&gt;='PANEL DE CONTROL'!$B$31,"A",IF(P148&gt;='PANEL DE CONTROL'!$B$32,"A-",IF(P148&gt;='PANEL DE CONTROL'!$B$33,"B+",IF(P148&gt;='PANEL DE CONTROL'!$B$34,"B",IF(P148&gt;='PANEL DE CONTROL'!$B$35,"B-",IF(P148&gt;='PANEL DE CONTROL'!$B$36,"C+",IF(P148&gt;='PANEL DE CONTROL'!$B$37,"C",IF(P148&gt;='PANEL DE CONTROL'!$B$38,"C-",IF(P148&gt;='PANEL DE CONTROL'!$B$39,"D+",IF(P148&gt;='PANEL DE CONTROL'!$B$40,"D","F")))))))))))</f>
        <v>D+</v>
      </c>
      <c r="R148" s="30" t="str">
        <f>Datos!I148</f>
        <v>D</v>
      </c>
      <c r="S148" s="30">
        <f>P148-Datos!H148</f>
        <v>0.006</v>
      </c>
      <c r="T148" s="30" t="str">
        <f t="shared" si="5"/>
        <v>Igual</v>
      </c>
      <c r="U148" s="30" t="str">
        <f>Datos!O148</f>
        <v>muy_nuevo</v>
      </c>
      <c r="V148" s="30" t="str">
        <f>Datos!Q148</f>
        <v>malo</v>
      </c>
    </row>
    <row r="149" ht="15.75" customHeight="1">
      <c r="A149" s="30">
        <f>Datos!A149</f>
        <v>89362337</v>
      </c>
      <c r="B149" s="30">
        <f>Datos!B149</f>
        <v>100</v>
      </c>
      <c r="C149" s="30">
        <f>Datos!C149</f>
        <v>0</v>
      </c>
      <c r="D149" s="30">
        <f>Datos!D149</f>
        <v>50</v>
      </c>
      <c r="E149" s="30">
        <f>(B149/600)*'PANEL DE CONTROL'!$C$7</f>
        <v>100</v>
      </c>
      <c r="F149" s="30">
        <f>(C149/150)*'PANEL DE CONTROL'!$C$8</f>
        <v>0</v>
      </c>
      <c r="G149" s="30">
        <f>(D149/250)*'PANEL DE CONTROL'!$C$9</f>
        <v>50</v>
      </c>
      <c r="H149" s="30">
        <f t="shared" si="1"/>
        <v>150</v>
      </c>
      <c r="I149" s="30">
        <f>IF(Datos!K149&gt;30,'PANEL DE CONTROL'!$D$14,0)+IF(Datos!M149&gt;80,'PANEL DE CONTROL'!$D$15,0)</f>
        <v>0</v>
      </c>
      <c r="J149" s="30">
        <f>IF(Datos!L149&lt;10,'PANEL DE CONTROL'!$D$16,0)+IF(Datos!N149&gt;24,'PANEL DE CONTROL'!$D$17,0)</f>
        <v>0</v>
      </c>
      <c r="K149" s="30">
        <f t="shared" si="2"/>
        <v>150</v>
      </c>
      <c r="L149" s="30">
        <f>Datos!G149</f>
        <v>571.6</v>
      </c>
      <c r="M149" s="30">
        <f>IF(Datos!O149="muy_nuevo",'PANEL DE CONTROL'!$C$22,IF(Datos!O149="nuevo",'PANEL DE CONTROL'!$C$23,IF(Datos!O149="intermedio",'PANEL DE CONTROL'!$C$24,IF(Datos!O149="establecido",'PANEL DE CONTROL'!$C$25,'PANEL DE CONTROL'!$C$26))))</f>
        <v>0.4</v>
      </c>
      <c r="N149" s="30">
        <f>IF(Datos!J149&gt;=20,0.1,IF(Datos!J149&lt;5,-0.1,0))</f>
        <v>0</v>
      </c>
      <c r="O149" s="30">
        <f t="shared" si="3"/>
        <v>0.4</v>
      </c>
      <c r="P149" s="30">
        <f t="shared" si="4"/>
        <v>402.96</v>
      </c>
      <c r="Q149" s="30" t="str">
        <f>IF(P149&gt;='PANEL DE CONTROL'!$B$30,"A+",IF(P149&gt;='PANEL DE CONTROL'!$B$31,"A",IF(P149&gt;='PANEL DE CONTROL'!$B$32,"A-",IF(P149&gt;='PANEL DE CONTROL'!$B$33,"B+",IF(P149&gt;='PANEL DE CONTROL'!$B$34,"B",IF(P149&gt;='PANEL DE CONTROL'!$B$35,"B-",IF(P149&gt;='PANEL DE CONTROL'!$B$36,"C+",IF(P149&gt;='PANEL DE CONTROL'!$B$37,"C",IF(P149&gt;='PANEL DE CONTROL'!$B$38,"C-",IF(P149&gt;='PANEL DE CONTROL'!$B$39,"D+",IF(P149&gt;='PANEL DE CONTROL'!$B$40,"D","F")))))))))))</f>
        <v>D</v>
      </c>
      <c r="R149" s="30" t="str">
        <f>Datos!I149</f>
        <v>D</v>
      </c>
      <c r="S149" s="30">
        <f>P149-Datos!H149</f>
        <v>0</v>
      </c>
      <c r="T149" s="30" t="str">
        <f t="shared" si="5"/>
        <v>Igual</v>
      </c>
      <c r="U149" s="30" t="str">
        <f>Datos!O149</f>
        <v>nuevo</v>
      </c>
      <c r="V149" s="30" t="str">
        <f>Datos!Q149</f>
        <v>malo</v>
      </c>
    </row>
    <row r="150" ht="15.75" customHeight="1">
      <c r="A150" s="30">
        <f>Datos!A150</f>
        <v>12702770</v>
      </c>
      <c r="B150" s="30">
        <f>Datos!B150</f>
        <v>200</v>
      </c>
      <c r="C150" s="30">
        <f>Datos!C150</f>
        <v>0</v>
      </c>
      <c r="D150" s="30">
        <f>Datos!D150</f>
        <v>75</v>
      </c>
      <c r="E150" s="30">
        <f>(B150/600)*'PANEL DE CONTROL'!$C$7</f>
        <v>200</v>
      </c>
      <c r="F150" s="30">
        <f>(C150/150)*'PANEL DE CONTROL'!$C$8</f>
        <v>0</v>
      </c>
      <c r="G150" s="30">
        <f>(D150/250)*'PANEL DE CONTROL'!$C$9</f>
        <v>75</v>
      </c>
      <c r="H150" s="30">
        <f t="shared" si="1"/>
        <v>275</v>
      </c>
      <c r="I150" s="30">
        <f>IF(Datos!K150&gt;30,'PANEL DE CONTROL'!$D$14,0)+IF(Datos!M150&gt;80,'PANEL DE CONTROL'!$D$15,0)</f>
        <v>0</v>
      </c>
      <c r="J150" s="30">
        <f>IF(Datos!L150&lt;10,'PANEL DE CONTROL'!$D$16,0)+IF(Datos!N150&gt;24,'PANEL DE CONTROL'!$D$17,0)</f>
        <v>0</v>
      </c>
      <c r="K150" s="30">
        <f t="shared" si="2"/>
        <v>275</v>
      </c>
      <c r="L150" s="30">
        <f>Datos!G150</f>
        <v>466.18</v>
      </c>
      <c r="M150" s="30">
        <f>IF(Datos!O150="muy_nuevo",'PANEL DE CONTROL'!$C$22,IF(Datos!O150="nuevo",'PANEL DE CONTROL'!$C$23,IF(Datos!O150="intermedio",'PANEL DE CONTROL'!$C$24,IF(Datos!O150="establecido",'PANEL DE CONTROL'!$C$25,'PANEL DE CONTROL'!$C$26))))</f>
        <v>0.3</v>
      </c>
      <c r="N150" s="30">
        <f>IF(Datos!J150&gt;=20,0.1,IF(Datos!J150&lt;5,-0.1,0))</f>
        <v>0</v>
      </c>
      <c r="O150" s="30">
        <f t="shared" si="3"/>
        <v>0.3</v>
      </c>
      <c r="P150" s="30">
        <f t="shared" si="4"/>
        <v>408.826</v>
      </c>
      <c r="Q150" s="30" t="str">
        <f>IF(P150&gt;='PANEL DE CONTROL'!$B$30,"A+",IF(P150&gt;='PANEL DE CONTROL'!$B$31,"A",IF(P150&gt;='PANEL DE CONTROL'!$B$32,"A-",IF(P150&gt;='PANEL DE CONTROL'!$B$33,"B+",IF(P150&gt;='PANEL DE CONTROL'!$B$34,"B",IF(P150&gt;='PANEL DE CONTROL'!$B$35,"B-",IF(P150&gt;='PANEL DE CONTROL'!$B$36,"C+",IF(P150&gt;='PANEL DE CONTROL'!$B$37,"C",IF(P150&gt;='PANEL DE CONTROL'!$B$38,"C-",IF(P150&gt;='PANEL DE CONTROL'!$B$39,"D+",IF(P150&gt;='PANEL DE CONTROL'!$B$40,"D","F")))))))))))</f>
        <v>D</v>
      </c>
      <c r="R150" s="30" t="str">
        <f>Datos!I150</f>
        <v>D</v>
      </c>
      <c r="S150" s="30">
        <f>P150-Datos!H150</f>
        <v>0.006</v>
      </c>
      <c r="T150" s="30" t="str">
        <f t="shared" si="5"/>
        <v>Igual</v>
      </c>
      <c r="U150" s="30" t="str">
        <f>Datos!O150</f>
        <v>muy_nuevo</v>
      </c>
      <c r="V150" s="30" t="str">
        <f>Datos!Q150</f>
        <v>malo</v>
      </c>
    </row>
    <row r="151" ht="15.75" customHeight="1">
      <c r="A151" s="30">
        <f>Datos!A151</f>
        <v>41601764</v>
      </c>
      <c r="B151" s="30">
        <f>Datos!B151</f>
        <v>200</v>
      </c>
      <c r="C151" s="30">
        <f>Datos!C151</f>
        <v>0</v>
      </c>
      <c r="D151" s="30">
        <f>Datos!D151</f>
        <v>50</v>
      </c>
      <c r="E151" s="30">
        <f>(B151/600)*'PANEL DE CONTROL'!$C$7</f>
        <v>200</v>
      </c>
      <c r="F151" s="30">
        <f>(C151/150)*'PANEL DE CONTROL'!$C$8</f>
        <v>0</v>
      </c>
      <c r="G151" s="30">
        <f>(D151/250)*'PANEL DE CONTROL'!$C$9</f>
        <v>50</v>
      </c>
      <c r="H151" s="30">
        <f t="shared" si="1"/>
        <v>250</v>
      </c>
      <c r="I151" s="30">
        <f>IF(Datos!K151&gt;30,'PANEL DE CONTROL'!$D$14,0)+IF(Datos!M151&gt;80,'PANEL DE CONTROL'!$D$15,0)</f>
        <v>0</v>
      </c>
      <c r="J151" s="30">
        <f>IF(Datos!L151&lt;10,'PANEL DE CONTROL'!$D$16,0)+IF(Datos!N151&gt;24,'PANEL DE CONTROL'!$D$17,0)</f>
        <v>0</v>
      </c>
      <c r="K151" s="30">
        <f t="shared" si="2"/>
        <v>250</v>
      </c>
      <c r="L151" s="30">
        <f>Datos!G151</f>
        <v>475.87</v>
      </c>
      <c r="M151" s="30">
        <f>IF(Datos!O151="muy_nuevo",'PANEL DE CONTROL'!$C$22,IF(Datos!O151="nuevo",'PANEL DE CONTROL'!$C$23,IF(Datos!O151="intermedio",'PANEL DE CONTROL'!$C$24,IF(Datos!O151="establecido",'PANEL DE CONTROL'!$C$25,'PANEL DE CONTROL'!$C$26))))</f>
        <v>0.3</v>
      </c>
      <c r="N151" s="30">
        <f>IF(Datos!J151&gt;=20,0.1,IF(Datos!J151&lt;5,-0.1,0))</f>
        <v>0.1</v>
      </c>
      <c r="O151" s="30">
        <f t="shared" si="3"/>
        <v>0.4</v>
      </c>
      <c r="P151" s="30">
        <f t="shared" si="4"/>
        <v>385.522</v>
      </c>
      <c r="Q151" s="30" t="str">
        <f>IF(P151&gt;='PANEL DE CONTROL'!$B$30,"A+",IF(P151&gt;='PANEL DE CONTROL'!$B$31,"A",IF(P151&gt;='PANEL DE CONTROL'!$B$32,"A-",IF(P151&gt;='PANEL DE CONTROL'!$B$33,"B+",IF(P151&gt;='PANEL DE CONTROL'!$B$34,"B",IF(P151&gt;='PANEL DE CONTROL'!$B$35,"B-",IF(P151&gt;='PANEL DE CONTROL'!$B$36,"C+",IF(P151&gt;='PANEL DE CONTROL'!$B$37,"C",IF(P151&gt;='PANEL DE CONTROL'!$B$38,"C-",IF(P151&gt;='PANEL DE CONTROL'!$B$39,"D+",IF(P151&gt;='PANEL DE CONTROL'!$B$40,"D","F")))))))))))</f>
        <v>F</v>
      </c>
      <c r="R151" s="30" t="str">
        <f>Datos!I151</f>
        <v>D</v>
      </c>
      <c r="S151" s="30">
        <f>P151-Datos!H151</f>
        <v>-22.588</v>
      </c>
      <c r="T151" s="30" t="str">
        <f t="shared" si="5"/>
        <v>Empeora</v>
      </c>
      <c r="U151" s="30" t="str">
        <f>Datos!O151</f>
        <v>muy_nuevo</v>
      </c>
      <c r="V151" s="30" t="str">
        <f>Datos!Q151</f>
        <v>malo</v>
      </c>
    </row>
    <row r="152" ht="15.75" customHeight="1">
      <c r="A152" s="30">
        <f>Datos!A152</f>
        <v>30469580</v>
      </c>
      <c r="B152" s="30">
        <f>Datos!B152</f>
        <v>100</v>
      </c>
      <c r="C152" s="30">
        <f>Datos!C152</f>
        <v>50</v>
      </c>
      <c r="D152" s="30">
        <f>Datos!D152</f>
        <v>75</v>
      </c>
      <c r="E152" s="30">
        <f>(B152/600)*'PANEL DE CONTROL'!$C$7</f>
        <v>100</v>
      </c>
      <c r="F152" s="30">
        <f>(C152/150)*'PANEL DE CONTROL'!$C$8</f>
        <v>50</v>
      </c>
      <c r="G152" s="30">
        <f>(D152/250)*'PANEL DE CONTROL'!$C$9</f>
        <v>75</v>
      </c>
      <c r="H152" s="30">
        <f t="shared" si="1"/>
        <v>225</v>
      </c>
      <c r="I152" s="30">
        <f>IF(Datos!K152&gt;30,'PANEL DE CONTROL'!$D$14,0)+IF(Datos!M152&gt;80,'PANEL DE CONTROL'!$D$15,0)</f>
        <v>0</v>
      </c>
      <c r="J152" s="30">
        <f>IF(Datos!L152&lt;10,'PANEL DE CONTROL'!$D$16,0)+IF(Datos!N152&gt;24,'PANEL DE CONTROL'!$D$17,0)</f>
        <v>0</v>
      </c>
      <c r="K152" s="30">
        <f t="shared" si="2"/>
        <v>225</v>
      </c>
      <c r="L152" s="30">
        <f>Datos!G152</f>
        <v>422.38</v>
      </c>
      <c r="M152" s="30">
        <f>IF(Datos!O152="muy_nuevo",'PANEL DE CONTROL'!$C$22,IF(Datos!O152="nuevo",'PANEL DE CONTROL'!$C$23,IF(Datos!O152="intermedio",'PANEL DE CONTROL'!$C$24,IF(Datos!O152="establecido",'PANEL DE CONTROL'!$C$25,'PANEL DE CONTROL'!$C$26))))</f>
        <v>0.4</v>
      </c>
      <c r="N152" s="30">
        <f>IF(Datos!J152&gt;=20,0.1,IF(Datos!J152&lt;5,-0.1,0))</f>
        <v>0</v>
      </c>
      <c r="O152" s="30">
        <f t="shared" si="3"/>
        <v>0.4</v>
      </c>
      <c r="P152" s="30">
        <f t="shared" si="4"/>
        <v>343.428</v>
      </c>
      <c r="Q152" s="30" t="str">
        <f>IF(P152&gt;='PANEL DE CONTROL'!$B$30,"A+",IF(P152&gt;='PANEL DE CONTROL'!$B$31,"A",IF(P152&gt;='PANEL DE CONTROL'!$B$32,"A-",IF(P152&gt;='PANEL DE CONTROL'!$B$33,"B+",IF(P152&gt;='PANEL DE CONTROL'!$B$34,"B",IF(P152&gt;='PANEL DE CONTROL'!$B$35,"B-",IF(P152&gt;='PANEL DE CONTROL'!$B$36,"C+",IF(P152&gt;='PANEL DE CONTROL'!$B$37,"C",IF(P152&gt;='PANEL DE CONTROL'!$B$38,"C-",IF(P152&gt;='PANEL DE CONTROL'!$B$39,"D+",IF(P152&gt;='PANEL DE CONTROL'!$B$40,"D","F")))))))))))</f>
        <v>F</v>
      </c>
      <c r="R152" s="30" t="str">
        <f>Datos!I152</f>
        <v>F</v>
      </c>
      <c r="S152" s="30">
        <f>P152-Datos!H152</f>
        <v>-0.002</v>
      </c>
      <c r="T152" s="30" t="str">
        <f t="shared" si="5"/>
        <v>Igual</v>
      </c>
      <c r="U152" s="30" t="str">
        <f>Datos!O152</f>
        <v>nuevo</v>
      </c>
      <c r="V152" s="30" t="str">
        <f>Datos!Q152</f>
        <v>malo</v>
      </c>
    </row>
    <row r="153" ht="15.75" customHeight="1">
      <c r="A153" s="30">
        <f>Datos!A153</f>
        <v>79200313</v>
      </c>
      <c r="B153" s="30">
        <f>Datos!B153</f>
        <v>100</v>
      </c>
      <c r="C153" s="30">
        <f>Datos!C153</f>
        <v>0</v>
      </c>
      <c r="D153" s="30">
        <f>Datos!D153</f>
        <v>50</v>
      </c>
      <c r="E153" s="30">
        <f>(B153/600)*'PANEL DE CONTROL'!$C$7</f>
        <v>100</v>
      </c>
      <c r="F153" s="30">
        <f>(C153/150)*'PANEL DE CONTROL'!$C$8</f>
        <v>0</v>
      </c>
      <c r="G153" s="30">
        <f>(D153/250)*'PANEL DE CONTROL'!$C$9</f>
        <v>50</v>
      </c>
      <c r="H153" s="30">
        <f t="shared" si="1"/>
        <v>150</v>
      </c>
      <c r="I153" s="30">
        <f>IF(Datos!K153&gt;30,'PANEL DE CONTROL'!$D$14,0)+IF(Datos!M153&gt;80,'PANEL DE CONTROL'!$D$15,0)</f>
        <v>0</v>
      </c>
      <c r="J153" s="30">
        <f>IF(Datos!L153&lt;10,'PANEL DE CONTROL'!$D$16,0)+IF(Datos!N153&gt;24,'PANEL DE CONTROL'!$D$17,0)</f>
        <v>0</v>
      </c>
      <c r="K153" s="30">
        <f t="shared" si="2"/>
        <v>150</v>
      </c>
      <c r="L153" s="30">
        <f>Datos!G153</f>
        <v>463.23</v>
      </c>
      <c r="M153" s="30">
        <f>IF(Datos!O153="muy_nuevo",'PANEL DE CONTROL'!$C$22,IF(Datos!O153="nuevo",'PANEL DE CONTROL'!$C$23,IF(Datos!O153="intermedio",'PANEL DE CONTROL'!$C$24,IF(Datos!O153="establecido",'PANEL DE CONTROL'!$C$25,'PANEL DE CONTROL'!$C$26))))</f>
        <v>0.3</v>
      </c>
      <c r="N153" s="30">
        <f>IF(Datos!J153&gt;=20,0.1,IF(Datos!J153&lt;5,-0.1,0))</f>
        <v>0</v>
      </c>
      <c r="O153" s="30">
        <f t="shared" si="3"/>
        <v>0.3</v>
      </c>
      <c r="P153" s="30">
        <f t="shared" si="4"/>
        <v>369.261</v>
      </c>
      <c r="Q153" s="30" t="str">
        <f>IF(P153&gt;='PANEL DE CONTROL'!$B$30,"A+",IF(P153&gt;='PANEL DE CONTROL'!$B$31,"A",IF(P153&gt;='PANEL DE CONTROL'!$B$32,"A-",IF(P153&gt;='PANEL DE CONTROL'!$B$33,"B+",IF(P153&gt;='PANEL DE CONTROL'!$B$34,"B",IF(P153&gt;='PANEL DE CONTROL'!$B$35,"B-",IF(P153&gt;='PANEL DE CONTROL'!$B$36,"C+",IF(P153&gt;='PANEL DE CONTROL'!$B$37,"C",IF(P153&gt;='PANEL DE CONTROL'!$B$38,"C-",IF(P153&gt;='PANEL DE CONTROL'!$B$39,"D+",IF(P153&gt;='PANEL DE CONTROL'!$B$40,"D","F")))))))))))</f>
        <v>F</v>
      </c>
      <c r="R153" s="30" t="str">
        <f>Datos!I153</f>
        <v>F</v>
      </c>
      <c r="S153" s="30">
        <f>P153-Datos!H153</f>
        <v>0.001</v>
      </c>
      <c r="T153" s="30" t="str">
        <f t="shared" si="5"/>
        <v>Igual</v>
      </c>
      <c r="U153" s="30" t="str">
        <f>Datos!O153</f>
        <v>muy_nuevo</v>
      </c>
      <c r="V153" s="30" t="str">
        <f>Datos!Q153</f>
        <v>malo</v>
      </c>
    </row>
    <row r="154" ht="15.75" customHeight="1">
      <c r="A154" s="30">
        <f>Datos!A154</f>
        <v>26772100</v>
      </c>
      <c r="B154" s="30">
        <f>Datos!B154</f>
        <v>200</v>
      </c>
      <c r="C154" s="30">
        <f>Datos!C154</f>
        <v>0</v>
      </c>
      <c r="D154" s="30">
        <f>Datos!D154</f>
        <v>50</v>
      </c>
      <c r="E154" s="30">
        <f>(B154/600)*'PANEL DE CONTROL'!$C$7</f>
        <v>200</v>
      </c>
      <c r="F154" s="30">
        <f>(C154/150)*'PANEL DE CONTROL'!$C$8</f>
        <v>0</v>
      </c>
      <c r="G154" s="30">
        <f>(D154/250)*'PANEL DE CONTROL'!$C$9</f>
        <v>50</v>
      </c>
      <c r="H154" s="30">
        <f t="shared" si="1"/>
        <v>250</v>
      </c>
      <c r="I154" s="30">
        <f>IF(Datos!K154&gt;30,'PANEL DE CONTROL'!$D$14,0)+IF(Datos!M154&gt;80,'PANEL DE CONTROL'!$D$15,0)</f>
        <v>0</v>
      </c>
      <c r="J154" s="30">
        <f>IF(Datos!L154&lt;10,'PANEL DE CONTROL'!$D$16,0)+IF(Datos!N154&gt;24,'PANEL DE CONTROL'!$D$17,0)</f>
        <v>0</v>
      </c>
      <c r="K154" s="30">
        <f t="shared" si="2"/>
        <v>250</v>
      </c>
      <c r="L154" s="30">
        <f>Datos!G154</f>
        <v>573.58</v>
      </c>
      <c r="M154" s="30">
        <f>IF(Datos!O154="muy_nuevo",'PANEL DE CONTROL'!$C$22,IF(Datos!O154="nuevo",'PANEL DE CONTROL'!$C$23,IF(Datos!O154="intermedio",'PANEL DE CONTROL'!$C$24,IF(Datos!O154="establecido",'PANEL DE CONTROL'!$C$25,'PANEL DE CONTROL'!$C$26))))</f>
        <v>0.3</v>
      </c>
      <c r="N154" s="30">
        <f>IF(Datos!J154&gt;=20,0.1,IF(Datos!J154&lt;5,-0.1,0))</f>
        <v>0.1</v>
      </c>
      <c r="O154" s="30">
        <f t="shared" si="3"/>
        <v>0.4</v>
      </c>
      <c r="P154" s="30">
        <f t="shared" si="4"/>
        <v>444.148</v>
      </c>
      <c r="Q154" s="30" t="str">
        <f>IF(P154&gt;='PANEL DE CONTROL'!$B$30,"A+",IF(P154&gt;='PANEL DE CONTROL'!$B$31,"A",IF(P154&gt;='PANEL DE CONTROL'!$B$32,"A-",IF(P154&gt;='PANEL DE CONTROL'!$B$33,"B+",IF(P154&gt;='PANEL DE CONTROL'!$B$34,"B",IF(P154&gt;='PANEL DE CONTROL'!$B$35,"B-",IF(P154&gt;='PANEL DE CONTROL'!$B$36,"C+",IF(P154&gt;='PANEL DE CONTROL'!$B$37,"C",IF(P154&gt;='PANEL DE CONTROL'!$B$38,"C-",IF(P154&gt;='PANEL DE CONTROL'!$B$39,"D+",IF(P154&gt;='PANEL DE CONTROL'!$B$40,"D","F")))))))))))</f>
        <v>D</v>
      </c>
      <c r="R154" s="30" t="str">
        <f>Datos!I154</f>
        <v>D</v>
      </c>
      <c r="S154" s="30">
        <f>P154-Datos!H154</f>
        <v>-32.362</v>
      </c>
      <c r="T154" s="30" t="str">
        <f t="shared" si="5"/>
        <v>Empeora</v>
      </c>
      <c r="U154" s="30" t="str">
        <f>Datos!O154</f>
        <v>muy_nuevo</v>
      </c>
      <c r="V154" s="30" t="str">
        <f>Datos!Q154</f>
        <v>malo</v>
      </c>
    </row>
    <row r="155" ht="15.75" customHeight="1">
      <c r="A155" s="30">
        <f>Datos!A155</f>
        <v>25200244</v>
      </c>
      <c r="B155" s="30">
        <f>Datos!B155</f>
        <v>100</v>
      </c>
      <c r="C155" s="30">
        <f>Datos!C155</f>
        <v>50</v>
      </c>
      <c r="D155" s="30">
        <f>Datos!D155</f>
        <v>50</v>
      </c>
      <c r="E155" s="30">
        <f>(B155/600)*'PANEL DE CONTROL'!$C$7</f>
        <v>100</v>
      </c>
      <c r="F155" s="30">
        <f>(C155/150)*'PANEL DE CONTROL'!$C$8</f>
        <v>50</v>
      </c>
      <c r="G155" s="30">
        <f>(D155/250)*'PANEL DE CONTROL'!$C$9</f>
        <v>50</v>
      </c>
      <c r="H155" s="30">
        <f t="shared" si="1"/>
        <v>200</v>
      </c>
      <c r="I155" s="30">
        <f>IF(Datos!K155&gt;30,'PANEL DE CONTROL'!$D$14,0)+IF(Datos!M155&gt;80,'PANEL DE CONTROL'!$D$15,0)</f>
        <v>0</v>
      </c>
      <c r="J155" s="30">
        <f>IF(Datos!L155&lt;10,'PANEL DE CONTROL'!$D$16,0)+IF(Datos!N155&gt;24,'PANEL DE CONTROL'!$D$17,0)</f>
        <v>0</v>
      </c>
      <c r="K155" s="30">
        <f t="shared" si="2"/>
        <v>200</v>
      </c>
      <c r="L155" s="30">
        <f>Datos!G155</f>
        <v>546.58</v>
      </c>
      <c r="M155" s="30">
        <f>IF(Datos!O155="muy_nuevo",'PANEL DE CONTROL'!$C$22,IF(Datos!O155="nuevo",'PANEL DE CONTROL'!$C$23,IF(Datos!O155="intermedio",'PANEL DE CONTROL'!$C$24,IF(Datos!O155="establecido",'PANEL DE CONTROL'!$C$25,'PANEL DE CONTROL'!$C$26))))</f>
        <v>0.4</v>
      </c>
      <c r="N155" s="30">
        <f>IF(Datos!J155&gt;=20,0.1,IF(Datos!J155&lt;5,-0.1,0))</f>
        <v>0.1</v>
      </c>
      <c r="O155" s="30">
        <f t="shared" si="3"/>
        <v>0.5</v>
      </c>
      <c r="P155" s="30">
        <f t="shared" si="4"/>
        <v>373.29</v>
      </c>
      <c r="Q155" s="30" t="str">
        <f>IF(P155&gt;='PANEL DE CONTROL'!$B$30,"A+",IF(P155&gt;='PANEL DE CONTROL'!$B$31,"A",IF(P155&gt;='PANEL DE CONTROL'!$B$32,"A-",IF(P155&gt;='PANEL DE CONTROL'!$B$33,"B+",IF(P155&gt;='PANEL DE CONTROL'!$B$34,"B",IF(P155&gt;='PANEL DE CONTROL'!$B$35,"B-",IF(P155&gt;='PANEL DE CONTROL'!$B$36,"C+",IF(P155&gt;='PANEL DE CONTROL'!$B$37,"C",IF(P155&gt;='PANEL DE CONTROL'!$B$38,"C-",IF(P155&gt;='PANEL DE CONTROL'!$B$39,"D+",IF(P155&gt;='PANEL DE CONTROL'!$B$40,"D","F")))))))))))</f>
        <v>F</v>
      </c>
      <c r="R155" s="30" t="str">
        <f>Datos!I155</f>
        <v>D</v>
      </c>
      <c r="S155" s="30">
        <f>P155-Datos!H155</f>
        <v>-34.66</v>
      </c>
      <c r="T155" s="30" t="str">
        <f t="shared" si="5"/>
        <v>Empeora</v>
      </c>
      <c r="U155" s="30" t="str">
        <f>Datos!O155</f>
        <v>nuevo</v>
      </c>
      <c r="V155" s="30" t="str">
        <f>Datos!Q155</f>
        <v>malo</v>
      </c>
    </row>
    <row r="156" ht="15.75" customHeight="1">
      <c r="A156" s="30">
        <f>Datos!A156</f>
        <v>47391823</v>
      </c>
      <c r="B156" s="30">
        <f>Datos!B156</f>
        <v>100</v>
      </c>
      <c r="C156" s="30">
        <f>Datos!C156</f>
        <v>50</v>
      </c>
      <c r="D156" s="30">
        <f>Datos!D156</f>
        <v>50</v>
      </c>
      <c r="E156" s="30">
        <f>(B156/600)*'PANEL DE CONTROL'!$C$7</f>
        <v>100</v>
      </c>
      <c r="F156" s="30">
        <f>(C156/150)*'PANEL DE CONTROL'!$C$8</f>
        <v>50</v>
      </c>
      <c r="G156" s="30">
        <f>(D156/250)*'PANEL DE CONTROL'!$C$9</f>
        <v>50</v>
      </c>
      <c r="H156" s="30">
        <f t="shared" si="1"/>
        <v>200</v>
      </c>
      <c r="I156" s="30">
        <f>IF(Datos!K156&gt;30,'PANEL DE CONTROL'!$D$14,0)+IF(Datos!M156&gt;80,'PANEL DE CONTROL'!$D$15,0)</f>
        <v>0</v>
      </c>
      <c r="J156" s="30">
        <f>IF(Datos!L156&lt;10,'PANEL DE CONTROL'!$D$16,0)+IF(Datos!N156&gt;24,'PANEL DE CONTROL'!$D$17,0)</f>
        <v>0</v>
      </c>
      <c r="K156" s="30">
        <f t="shared" si="2"/>
        <v>200</v>
      </c>
      <c r="L156" s="30">
        <f>Datos!G156</f>
        <v>595.73</v>
      </c>
      <c r="M156" s="30">
        <f>IF(Datos!O156="muy_nuevo",'PANEL DE CONTROL'!$C$22,IF(Datos!O156="nuevo",'PANEL DE CONTROL'!$C$23,IF(Datos!O156="intermedio",'PANEL DE CONTROL'!$C$24,IF(Datos!O156="establecido",'PANEL DE CONTROL'!$C$25,'PANEL DE CONTROL'!$C$26))))</f>
        <v>0.4</v>
      </c>
      <c r="N156" s="30">
        <f>IF(Datos!J156&gt;=20,0.1,IF(Datos!J156&lt;5,-0.1,0))</f>
        <v>0.1</v>
      </c>
      <c r="O156" s="30">
        <f t="shared" si="3"/>
        <v>0.5</v>
      </c>
      <c r="P156" s="30">
        <f t="shared" si="4"/>
        <v>397.865</v>
      </c>
      <c r="Q156" s="30" t="str">
        <f>IF(P156&gt;='PANEL DE CONTROL'!$B$30,"A+",IF(P156&gt;='PANEL DE CONTROL'!$B$31,"A",IF(P156&gt;='PANEL DE CONTROL'!$B$32,"A-",IF(P156&gt;='PANEL DE CONTROL'!$B$33,"B+",IF(P156&gt;='PANEL DE CONTROL'!$B$34,"B",IF(P156&gt;='PANEL DE CONTROL'!$B$35,"B-",IF(P156&gt;='PANEL DE CONTROL'!$B$36,"C+",IF(P156&gt;='PANEL DE CONTROL'!$B$37,"C",IF(P156&gt;='PANEL DE CONTROL'!$B$38,"C-",IF(P156&gt;='PANEL DE CONTROL'!$B$39,"D+",IF(P156&gt;='PANEL DE CONTROL'!$B$40,"D","F")))))))))))</f>
        <v>F</v>
      </c>
      <c r="R156" s="30" t="str">
        <f>Datos!I156</f>
        <v>D</v>
      </c>
      <c r="S156" s="30">
        <f>P156-Datos!H156</f>
        <v>-39.575</v>
      </c>
      <c r="T156" s="30" t="str">
        <f t="shared" si="5"/>
        <v>Empeora</v>
      </c>
      <c r="U156" s="30" t="str">
        <f>Datos!O156</f>
        <v>nuevo</v>
      </c>
      <c r="V156" s="30" t="str">
        <f>Datos!Q156</f>
        <v>malo</v>
      </c>
    </row>
    <row r="157" ht="15.75" customHeight="1">
      <c r="A157" s="30">
        <f>Datos!A157</f>
        <v>65570377</v>
      </c>
      <c r="B157" s="30">
        <f>Datos!B157</f>
        <v>100</v>
      </c>
      <c r="C157" s="30">
        <f>Datos!C157</f>
        <v>50</v>
      </c>
      <c r="D157" s="30">
        <f>Datos!D157</f>
        <v>75</v>
      </c>
      <c r="E157" s="30">
        <f>(B157/600)*'PANEL DE CONTROL'!$C$7</f>
        <v>100</v>
      </c>
      <c r="F157" s="30">
        <f>(C157/150)*'PANEL DE CONTROL'!$C$8</f>
        <v>50</v>
      </c>
      <c r="G157" s="30">
        <f>(D157/250)*'PANEL DE CONTROL'!$C$9</f>
        <v>75</v>
      </c>
      <c r="H157" s="30">
        <f t="shared" si="1"/>
        <v>225</v>
      </c>
      <c r="I157" s="30">
        <f>IF(Datos!K157&gt;30,'PANEL DE CONTROL'!$D$14,0)+IF(Datos!M157&gt;80,'PANEL DE CONTROL'!$D$15,0)</f>
        <v>0</v>
      </c>
      <c r="J157" s="30">
        <f>IF(Datos!L157&lt;10,'PANEL DE CONTROL'!$D$16,0)+IF(Datos!N157&gt;24,'PANEL DE CONTROL'!$D$17,0)</f>
        <v>0</v>
      </c>
      <c r="K157" s="30">
        <f t="shared" si="2"/>
        <v>225</v>
      </c>
      <c r="L157" s="30">
        <f>Datos!G157</f>
        <v>583.74</v>
      </c>
      <c r="M157" s="30">
        <f>IF(Datos!O157="muy_nuevo",'PANEL DE CONTROL'!$C$22,IF(Datos!O157="nuevo",'PANEL DE CONTROL'!$C$23,IF(Datos!O157="intermedio",'PANEL DE CONTROL'!$C$24,IF(Datos!O157="establecido",'PANEL DE CONTROL'!$C$25,'PANEL DE CONTROL'!$C$26))))</f>
        <v>0.3</v>
      </c>
      <c r="N157" s="30">
        <f>IF(Datos!J157&gt;=20,0.1,IF(Datos!J157&lt;5,-0.1,0))</f>
        <v>0.1</v>
      </c>
      <c r="O157" s="30">
        <f t="shared" si="3"/>
        <v>0.4</v>
      </c>
      <c r="P157" s="30">
        <f t="shared" si="4"/>
        <v>440.244</v>
      </c>
      <c r="Q157" s="30" t="str">
        <f>IF(P157&gt;='PANEL DE CONTROL'!$B$30,"A+",IF(P157&gt;='PANEL DE CONTROL'!$B$31,"A",IF(P157&gt;='PANEL DE CONTROL'!$B$32,"A-",IF(P157&gt;='PANEL DE CONTROL'!$B$33,"B+",IF(P157&gt;='PANEL DE CONTROL'!$B$34,"B",IF(P157&gt;='PANEL DE CONTROL'!$B$35,"B-",IF(P157&gt;='PANEL DE CONTROL'!$B$36,"C+",IF(P157&gt;='PANEL DE CONTROL'!$B$37,"C",IF(P157&gt;='PANEL DE CONTROL'!$B$38,"C-",IF(P157&gt;='PANEL DE CONTROL'!$B$39,"D+",IF(P157&gt;='PANEL DE CONTROL'!$B$40,"D","F")))))))))))</f>
        <v>D</v>
      </c>
      <c r="R157" s="30" t="str">
        <f>Datos!I157</f>
        <v>D</v>
      </c>
      <c r="S157" s="30">
        <f>P157-Datos!H157</f>
        <v>-35.866</v>
      </c>
      <c r="T157" s="30" t="str">
        <f t="shared" si="5"/>
        <v>Empeora</v>
      </c>
      <c r="U157" s="30" t="str">
        <f>Datos!O157</f>
        <v>muy_nuevo</v>
      </c>
      <c r="V157" s="30" t="str">
        <f>Datos!Q157</f>
        <v>malo</v>
      </c>
    </row>
    <row r="158" ht="15.75" customHeight="1">
      <c r="A158" s="30">
        <f>Datos!A158</f>
        <v>55892395</v>
      </c>
      <c r="B158" s="30">
        <f>Datos!B158</f>
        <v>200</v>
      </c>
      <c r="C158" s="30">
        <f>Datos!C158</f>
        <v>0</v>
      </c>
      <c r="D158" s="30">
        <f>Datos!D158</f>
        <v>75</v>
      </c>
      <c r="E158" s="30">
        <f>(B158/600)*'PANEL DE CONTROL'!$C$7</f>
        <v>200</v>
      </c>
      <c r="F158" s="30">
        <f>(C158/150)*'PANEL DE CONTROL'!$C$8</f>
        <v>0</v>
      </c>
      <c r="G158" s="30">
        <f>(D158/250)*'PANEL DE CONTROL'!$C$9</f>
        <v>75</v>
      </c>
      <c r="H158" s="30">
        <f t="shared" si="1"/>
        <v>275</v>
      </c>
      <c r="I158" s="30">
        <f>IF(Datos!K158&gt;30,'PANEL DE CONTROL'!$D$14,0)+IF(Datos!M158&gt;80,'PANEL DE CONTROL'!$D$15,0)</f>
        <v>0</v>
      </c>
      <c r="J158" s="30">
        <f>IF(Datos!L158&lt;10,'PANEL DE CONTROL'!$D$16,0)+IF(Datos!N158&gt;24,'PANEL DE CONTROL'!$D$17,0)</f>
        <v>0</v>
      </c>
      <c r="K158" s="30">
        <f t="shared" si="2"/>
        <v>275</v>
      </c>
      <c r="L158" s="30">
        <f>Datos!G158</f>
        <v>463.62</v>
      </c>
      <c r="M158" s="30">
        <f>IF(Datos!O158="muy_nuevo",'PANEL DE CONTROL'!$C$22,IF(Datos!O158="nuevo",'PANEL DE CONTROL'!$C$23,IF(Datos!O158="intermedio",'PANEL DE CONTROL'!$C$24,IF(Datos!O158="establecido",'PANEL DE CONTROL'!$C$25,'PANEL DE CONTROL'!$C$26))))</f>
        <v>0.3</v>
      </c>
      <c r="N158" s="30">
        <f>IF(Datos!J158&gt;=20,0.1,IF(Datos!J158&lt;5,-0.1,0))</f>
        <v>0.1</v>
      </c>
      <c r="O158" s="30">
        <f t="shared" si="3"/>
        <v>0.4</v>
      </c>
      <c r="P158" s="30">
        <f t="shared" si="4"/>
        <v>388.172</v>
      </c>
      <c r="Q158" s="30" t="str">
        <f>IF(P158&gt;='PANEL DE CONTROL'!$B$30,"A+",IF(P158&gt;='PANEL DE CONTROL'!$B$31,"A",IF(P158&gt;='PANEL DE CONTROL'!$B$32,"A-",IF(P158&gt;='PANEL DE CONTROL'!$B$33,"B+",IF(P158&gt;='PANEL DE CONTROL'!$B$34,"B",IF(P158&gt;='PANEL DE CONTROL'!$B$35,"B-",IF(P158&gt;='PANEL DE CONTROL'!$B$36,"C+",IF(P158&gt;='PANEL DE CONTROL'!$B$37,"C",IF(P158&gt;='PANEL DE CONTROL'!$B$38,"C-",IF(P158&gt;='PANEL DE CONTROL'!$B$39,"D+",IF(P158&gt;='PANEL DE CONTROL'!$B$40,"D","F")))))))))))</f>
        <v>F</v>
      </c>
      <c r="R158" s="30" t="str">
        <f>Datos!I158</f>
        <v>D</v>
      </c>
      <c r="S158" s="30">
        <f>P158-Datos!H158</f>
        <v>-18.868</v>
      </c>
      <c r="T158" s="30" t="str">
        <f t="shared" si="5"/>
        <v>Empeora</v>
      </c>
      <c r="U158" s="30" t="str">
        <f>Datos!O158</f>
        <v>muy_nuevo</v>
      </c>
      <c r="V158" s="30" t="str">
        <f>Datos!Q158</f>
        <v>malo</v>
      </c>
    </row>
    <row r="159" ht="15.75" customHeight="1">
      <c r="A159" s="30">
        <f>Datos!A159</f>
        <v>35094359</v>
      </c>
      <c r="B159" s="30">
        <f>Datos!B159</f>
        <v>200</v>
      </c>
      <c r="C159" s="30">
        <f>Datos!C159</f>
        <v>50</v>
      </c>
      <c r="D159" s="30">
        <f>Datos!D159</f>
        <v>50</v>
      </c>
      <c r="E159" s="30">
        <f>(B159/600)*'PANEL DE CONTROL'!$C$7</f>
        <v>200</v>
      </c>
      <c r="F159" s="30">
        <f>(C159/150)*'PANEL DE CONTROL'!$C$8</f>
        <v>50</v>
      </c>
      <c r="G159" s="30">
        <f>(D159/250)*'PANEL DE CONTROL'!$C$9</f>
        <v>50</v>
      </c>
      <c r="H159" s="30">
        <f t="shared" si="1"/>
        <v>300</v>
      </c>
      <c r="I159" s="30">
        <f>IF(Datos!K159&gt;30,'PANEL DE CONTROL'!$D$14,0)+IF(Datos!M159&gt;80,'PANEL DE CONTROL'!$D$15,0)</f>
        <v>0</v>
      </c>
      <c r="J159" s="30">
        <f>IF(Datos!L159&lt;10,'PANEL DE CONTROL'!$D$16,0)+IF(Datos!N159&gt;24,'PANEL DE CONTROL'!$D$17,0)</f>
        <v>0</v>
      </c>
      <c r="K159" s="30">
        <f t="shared" si="2"/>
        <v>300</v>
      </c>
      <c r="L159" s="30">
        <f>Datos!G159</f>
        <v>585.13</v>
      </c>
      <c r="M159" s="30">
        <f>IF(Datos!O159="muy_nuevo",'PANEL DE CONTROL'!$C$22,IF(Datos!O159="nuevo",'PANEL DE CONTROL'!$C$23,IF(Datos!O159="intermedio",'PANEL DE CONTROL'!$C$24,IF(Datos!O159="establecido",'PANEL DE CONTROL'!$C$25,'PANEL DE CONTROL'!$C$26))))</f>
        <v>0.3</v>
      </c>
      <c r="N159" s="30">
        <f>IF(Datos!J159&gt;=20,0.1,IF(Datos!J159&lt;5,-0.1,0))</f>
        <v>0.1</v>
      </c>
      <c r="O159" s="30">
        <f t="shared" si="3"/>
        <v>0.4</v>
      </c>
      <c r="P159" s="30">
        <f t="shared" si="4"/>
        <v>471.078</v>
      </c>
      <c r="Q159" s="30" t="str">
        <f>IF(P159&gt;='PANEL DE CONTROL'!$B$30,"A+",IF(P159&gt;='PANEL DE CONTROL'!$B$31,"A",IF(P159&gt;='PANEL DE CONTROL'!$B$32,"A-",IF(P159&gt;='PANEL DE CONTROL'!$B$33,"B+",IF(P159&gt;='PANEL DE CONTROL'!$B$34,"B",IF(P159&gt;='PANEL DE CONTROL'!$B$35,"B-",IF(P159&gt;='PANEL DE CONTROL'!$B$36,"C+",IF(P159&gt;='PANEL DE CONTROL'!$B$37,"C",IF(P159&gt;='PANEL DE CONTROL'!$B$38,"C-",IF(P159&gt;='PANEL DE CONTROL'!$B$39,"D+",IF(P159&gt;='PANEL DE CONTROL'!$B$40,"D","F")))))))))))</f>
        <v>D+</v>
      </c>
      <c r="R159" s="30" t="str">
        <f>Datos!I159</f>
        <v>D</v>
      </c>
      <c r="S159" s="30">
        <f>P159-Datos!H159</f>
        <v>-28.512</v>
      </c>
      <c r="T159" s="30" t="str">
        <f t="shared" si="5"/>
        <v>Empeora</v>
      </c>
      <c r="U159" s="30" t="str">
        <f>Datos!O159</f>
        <v>muy_nuevo</v>
      </c>
      <c r="V159" s="30" t="str">
        <f>Datos!Q159</f>
        <v>malo</v>
      </c>
    </row>
    <row r="160" ht="15.75" customHeight="1">
      <c r="A160" s="30">
        <f>Datos!A160</f>
        <v>86349034</v>
      </c>
      <c r="B160" s="30">
        <f>Datos!B160</f>
        <v>200</v>
      </c>
      <c r="C160" s="30">
        <f>Datos!C160</f>
        <v>50</v>
      </c>
      <c r="D160" s="30">
        <f>Datos!D160</f>
        <v>50</v>
      </c>
      <c r="E160" s="30">
        <f>(B160/600)*'PANEL DE CONTROL'!$C$7</f>
        <v>200</v>
      </c>
      <c r="F160" s="30">
        <f>(C160/150)*'PANEL DE CONTROL'!$C$8</f>
        <v>50</v>
      </c>
      <c r="G160" s="30">
        <f>(D160/250)*'PANEL DE CONTROL'!$C$9</f>
        <v>50</v>
      </c>
      <c r="H160" s="30">
        <f t="shared" si="1"/>
        <v>300</v>
      </c>
      <c r="I160" s="30">
        <f>IF(Datos!K160&gt;30,'PANEL DE CONTROL'!$D$14,0)+IF(Datos!M160&gt;80,'PANEL DE CONTROL'!$D$15,0)</f>
        <v>0</v>
      </c>
      <c r="J160" s="30">
        <f>IF(Datos!L160&lt;10,'PANEL DE CONTROL'!$D$16,0)+IF(Datos!N160&gt;24,'PANEL DE CONTROL'!$D$17,0)</f>
        <v>0</v>
      </c>
      <c r="K160" s="30">
        <f t="shared" si="2"/>
        <v>300</v>
      </c>
      <c r="L160" s="30">
        <f>Datos!G160</f>
        <v>465.68</v>
      </c>
      <c r="M160" s="30">
        <f>IF(Datos!O160="muy_nuevo",'PANEL DE CONTROL'!$C$22,IF(Datos!O160="nuevo",'PANEL DE CONTROL'!$C$23,IF(Datos!O160="intermedio",'PANEL DE CONTROL'!$C$24,IF(Datos!O160="establecido",'PANEL DE CONTROL'!$C$25,'PANEL DE CONTROL'!$C$26))))</f>
        <v>0.3</v>
      </c>
      <c r="N160" s="30">
        <f>IF(Datos!J160&gt;=20,0.1,IF(Datos!J160&lt;5,-0.1,0))</f>
        <v>0</v>
      </c>
      <c r="O160" s="30">
        <f t="shared" si="3"/>
        <v>0.3</v>
      </c>
      <c r="P160" s="30">
        <f t="shared" si="4"/>
        <v>415.976</v>
      </c>
      <c r="Q160" s="30" t="str">
        <f>IF(P160&gt;='PANEL DE CONTROL'!$B$30,"A+",IF(P160&gt;='PANEL DE CONTROL'!$B$31,"A",IF(P160&gt;='PANEL DE CONTROL'!$B$32,"A-",IF(P160&gt;='PANEL DE CONTROL'!$B$33,"B+",IF(P160&gt;='PANEL DE CONTROL'!$B$34,"B",IF(P160&gt;='PANEL DE CONTROL'!$B$35,"B-",IF(P160&gt;='PANEL DE CONTROL'!$B$36,"C+",IF(P160&gt;='PANEL DE CONTROL'!$B$37,"C",IF(P160&gt;='PANEL DE CONTROL'!$B$38,"C-",IF(P160&gt;='PANEL DE CONTROL'!$B$39,"D+",IF(P160&gt;='PANEL DE CONTROL'!$B$40,"D","F")))))))))))</f>
        <v>D</v>
      </c>
      <c r="R160" s="30" t="str">
        <f>Datos!I160</f>
        <v>D</v>
      </c>
      <c r="S160" s="30">
        <f>P160-Datos!H160</f>
        <v>0.006</v>
      </c>
      <c r="T160" s="30" t="str">
        <f t="shared" si="5"/>
        <v>Igual</v>
      </c>
      <c r="U160" s="30" t="str">
        <f>Datos!O160</f>
        <v>muy_nuevo</v>
      </c>
      <c r="V160" s="30" t="str">
        <f>Datos!Q160</f>
        <v>malo</v>
      </c>
    </row>
    <row r="161" ht="15.75" customHeight="1">
      <c r="A161" s="30">
        <f>Datos!A161</f>
        <v>99119075</v>
      </c>
      <c r="B161" s="30">
        <f>Datos!B161</f>
        <v>100</v>
      </c>
      <c r="C161" s="30">
        <f>Datos!C161</f>
        <v>0</v>
      </c>
      <c r="D161" s="30">
        <f>Datos!D161</f>
        <v>50</v>
      </c>
      <c r="E161" s="30">
        <f>(B161/600)*'PANEL DE CONTROL'!$C$7</f>
        <v>100</v>
      </c>
      <c r="F161" s="30">
        <f>(C161/150)*'PANEL DE CONTROL'!$C$8</f>
        <v>0</v>
      </c>
      <c r="G161" s="30">
        <f>(D161/250)*'PANEL DE CONTROL'!$C$9</f>
        <v>50</v>
      </c>
      <c r="H161" s="30">
        <f t="shared" si="1"/>
        <v>150</v>
      </c>
      <c r="I161" s="30">
        <f>IF(Datos!K161&gt;30,'PANEL DE CONTROL'!$D$14,0)+IF(Datos!M161&gt;80,'PANEL DE CONTROL'!$D$15,0)</f>
        <v>0</v>
      </c>
      <c r="J161" s="30">
        <f>IF(Datos!L161&lt;10,'PANEL DE CONTROL'!$D$16,0)+IF(Datos!N161&gt;24,'PANEL DE CONTROL'!$D$17,0)</f>
        <v>0</v>
      </c>
      <c r="K161" s="30">
        <f t="shared" si="2"/>
        <v>150</v>
      </c>
      <c r="L161" s="30">
        <f>Datos!G161</f>
        <v>414.64</v>
      </c>
      <c r="M161" s="30">
        <f>IF(Datos!O161="muy_nuevo",'PANEL DE CONTROL'!$C$22,IF(Datos!O161="nuevo",'PANEL DE CONTROL'!$C$23,IF(Datos!O161="intermedio",'PANEL DE CONTROL'!$C$24,IF(Datos!O161="establecido",'PANEL DE CONTROL'!$C$25,'PANEL DE CONTROL'!$C$26))))</f>
        <v>0.3</v>
      </c>
      <c r="N161" s="30">
        <f>IF(Datos!J161&gt;=20,0.1,IF(Datos!J161&lt;5,-0.1,0))</f>
        <v>0</v>
      </c>
      <c r="O161" s="30">
        <f t="shared" si="3"/>
        <v>0.3</v>
      </c>
      <c r="P161" s="30">
        <f t="shared" si="4"/>
        <v>335.248</v>
      </c>
      <c r="Q161" s="30" t="str">
        <f>IF(P161&gt;='PANEL DE CONTROL'!$B$30,"A+",IF(P161&gt;='PANEL DE CONTROL'!$B$31,"A",IF(P161&gt;='PANEL DE CONTROL'!$B$32,"A-",IF(P161&gt;='PANEL DE CONTROL'!$B$33,"B+",IF(P161&gt;='PANEL DE CONTROL'!$B$34,"B",IF(P161&gt;='PANEL DE CONTROL'!$B$35,"B-",IF(P161&gt;='PANEL DE CONTROL'!$B$36,"C+",IF(P161&gt;='PANEL DE CONTROL'!$B$37,"C",IF(P161&gt;='PANEL DE CONTROL'!$B$38,"C-",IF(P161&gt;='PANEL DE CONTROL'!$B$39,"D+",IF(P161&gt;='PANEL DE CONTROL'!$B$40,"D","F")))))))))))</f>
        <v>F</v>
      </c>
      <c r="R161" s="30" t="str">
        <f>Datos!I161</f>
        <v>F</v>
      </c>
      <c r="S161" s="30">
        <f>P161-Datos!H161</f>
        <v>-0.002</v>
      </c>
      <c r="T161" s="30" t="str">
        <f t="shared" si="5"/>
        <v>Igual</v>
      </c>
      <c r="U161" s="30" t="str">
        <f>Datos!O161</f>
        <v>muy_nuevo</v>
      </c>
      <c r="V161" s="30" t="str">
        <f>Datos!Q161</f>
        <v>malo</v>
      </c>
    </row>
    <row r="162" ht="15.75" customHeight="1">
      <c r="A162" s="30">
        <f>Datos!A162</f>
        <v>13164623</v>
      </c>
      <c r="B162" s="30">
        <f>Datos!B162</f>
        <v>200</v>
      </c>
      <c r="C162" s="30">
        <f>Datos!C162</f>
        <v>0</v>
      </c>
      <c r="D162" s="30">
        <f>Datos!D162</f>
        <v>50</v>
      </c>
      <c r="E162" s="30">
        <f>(B162/600)*'PANEL DE CONTROL'!$C$7</f>
        <v>200</v>
      </c>
      <c r="F162" s="30">
        <f>(C162/150)*'PANEL DE CONTROL'!$C$8</f>
        <v>0</v>
      </c>
      <c r="G162" s="30">
        <f>(D162/250)*'PANEL DE CONTROL'!$C$9</f>
        <v>50</v>
      </c>
      <c r="H162" s="30">
        <f t="shared" si="1"/>
        <v>250</v>
      </c>
      <c r="I162" s="30">
        <f>IF(Datos!K162&gt;30,'PANEL DE CONTROL'!$D$14,0)+IF(Datos!M162&gt;80,'PANEL DE CONTROL'!$D$15,0)</f>
        <v>0</v>
      </c>
      <c r="J162" s="30">
        <f>IF(Datos!L162&lt;10,'PANEL DE CONTROL'!$D$16,0)+IF(Datos!N162&gt;24,'PANEL DE CONTROL'!$D$17,0)</f>
        <v>0</v>
      </c>
      <c r="K162" s="30">
        <f t="shared" si="2"/>
        <v>250</v>
      </c>
      <c r="L162" s="30">
        <f>Datos!G162</f>
        <v>562.75</v>
      </c>
      <c r="M162" s="30">
        <f>IF(Datos!O162="muy_nuevo",'PANEL DE CONTROL'!$C$22,IF(Datos!O162="nuevo",'PANEL DE CONTROL'!$C$23,IF(Datos!O162="intermedio",'PANEL DE CONTROL'!$C$24,IF(Datos!O162="establecido",'PANEL DE CONTROL'!$C$25,'PANEL DE CONTROL'!$C$26))))</f>
        <v>0.4</v>
      </c>
      <c r="N162" s="30">
        <f>IF(Datos!J162&gt;=20,0.1,IF(Datos!J162&lt;5,-0.1,0))</f>
        <v>0</v>
      </c>
      <c r="O162" s="30">
        <f t="shared" si="3"/>
        <v>0.4</v>
      </c>
      <c r="P162" s="30">
        <f t="shared" si="4"/>
        <v>437.65</v>
      </c>
      <c r="Q162" s="30" t="str">
        <f>IF(P162&gt;='PANEL DE CONTROL'!$B$30,"A+",IF(P162&gt;='PANEL DE CONTROL'!$B$31,"A",IF(P162&gt;='PANEL DE CONTROL'!$B$32,"A-",IF(P162&gt;='PANEL DE CONTROL'!$B$33,"B+",IF(P162&gt;='PANEL DE CONTROL'!$B$34,"B",IF(P162&gt;='PANEL DE CONTROL'!$B$35,"B-",IF(P162&gt;='PANEL DE CONTROL'!$B$36,"C+",IF(P162&gt;='PANEL DE CONTROL'!$B$37,"C",IF(P162&gt;='PANEL DE CONTROL'!$B$38,"C-",IF(P162&gt;='PANEL DE CONTROL'!$B$39,"D+",IF(P162&gt;='PANEL DE CONTROL'!$B$40,"D","F")))))))))))</f>
        <v>D</v>
      </c>
      <c r="R162" s="30" t="str">
        <f>Datos!I162</f>
        <v>D</v>
      </c>
      <c r="S162" s="30">
        <f>P162-Datos!H162</f>
        <v>0</v>
      </c>
      <c r="T162" s="30" t="str">
        <f t="shared" si="5"/>
        <v>Igual</v>
      </c>
      <c r="U162" s="30" t="str">
        <f>Datos!O162</f>
        <v>nuevo</v>
      </c>
      <c r="V162" s="30" t="str">
        <f>Datos!Q162</f>
        <v>malo</v>
      </c>
    </row>
    <row r="163" ht="15.75" customHeight="1">
      <c r="A163" s="30">
        <f>Datos!A163</f>
        <v>91233366</v>
      </c>
      <c r="B163" s="30">
        <f>Datos!B163</f>
        <v>100</v>
      </c>
      <c r="C163" s="30">
        <f>Datos!C163</f>
        <v>50</v>
      </c>
      <c r="D163" s="30">
        <f>Datos!D163</f>
        <v>50</v>
      </c>
      <c r="E163" s="30">
        <f>(B163/600)*'PANEL DE CONTROL'!$C$7</f>
        <v>100</v>
      </c>
      <c r="F163" s="30">
        <f>(C163/150)*'PANEL DE CONTROL'!$C$8</f>
        <v>50</v>
      </c>
      <c r="G163" s="30">
        <f>(D163/250)*'PANEL DE CONTROL'!$C$9</f>
        <v>50</v>
      </c>
      <c r="H163" s="30">
        <f t="shared" si="1"/>
        <v>200</v>
      </c>
      <c r="I163" s="30">
        <f>IF(Datos!K163&gt;30,'PANEL DE CONTROL'!$D$14,0)+IF(Datos!M163&gt;80,'PANEL DE CONTROL'!$D$15,0)</f>
        <v>0</v>
      </c>
      <c r="J163" s="30">
        <f>IF(Datos!L163&lt;10,'PANEL DE CONTROL'!$D$16,0)+IF(Datos!N163&gt;24,'PANEL DE CONTROL'!$D$17,0)</f>
        <v>0</v>
      </c>
      <c r="K163" s="30">
        <f t="shared" si="2"/>
        <v>200</v>
      </c>
      <c r="L163" s="30">
        <f>Datos!G163</f>
        <v>543.1</v>
      </c>
      <c r="M163" s="30">
        <f>IF(Datos!O163="muy_nuevo",'PANEL DE CONTROL'!$C$22,IF(Datos!O163="nuevo",'PANEL DE CONTROL'!$C$23,IF(Datos!O163="intermedio",'PANEL DE CONTROL'!$C$24,IF(Datos!O163="establecido",'PANEL DE CONTROL'!$C$25,'PANEL DE CONTROL'!$C$26))))</f>
        <v>0.3</v>
      </c>
      <c r="N163" s="30">
        <f>IF(Datos!J163&gt;=20,0.1,IF(Datos!J163&lt;5,-0.1,0))</f>
        <v>0.1</v>
      </c>
      <c r="O163" s="30">
        <f t="shared" si="3"/>
        <v>0.4</v>
      </c>
      <c r="P163" s="30">
        <f t="shared" si="4"/>
        <v>405.86</v>
      </c>
      <c r="Q163" s="30" t="str">
        <f>IF(P163&gt;='PANEL DE CONTROL'!$B$30,"A+",IF(P163&gt;='PANEL DE CONTROL'!$B$31,"A",IF(P163&gt;='PANEL DE CONTROL'!$B$32,"A-",IF(P163&gt;='PANEL DE CONTROL'!$B$33,"B+",IF(P163&gt;='PANEL DE CONTROL'!$B$34,"B",IF(P163&gt;='PANEL DE CONTROL'!$B$35,"B-",IF(P163&gt;='PANEL DE CONTROL'!$B$36,"C+",IF(P163&gt;='PANEL DE CONTROL'!$B$37,"C",IF(P163&gt;='PANEL DE CONTROL'!$B$38,"C-",IF(P163&gt;='PANEL DE CONTROL'!$B$39,"D+",IF(P163&gt;='PANEL DE CONTROL'!$B$40,"D","F")))))))))))</f>
        <v>D</v>
      </c>
      <c r="R163" s="30" t="str">
        <f>Datos!I163</f>
        <v>D</v>
      </c>
      <c r="S163" s="30">
        <f>P163-Datos!H163</f>
        <v>-34.31</v>
      </c>
      <c r="T163" s="30" t="str">
        <f t="shared" si="5"/>
        <v>Empeora</v>
      </c>
      <c r="U163" s="30" t="str">
        <f>Datos!O163</f>
        <v>muy_nuevo</v>
      </c>
      <c r="V163" s="30" t="str">
        <f>Datos!Q163</f>
        <v>malo</v>
      </c>
    </row>
    <row r="164" ht="15.75" customHeight="1">
      <c r="A164" s="30">
        <f>Datos!A164</f>
        <v>19910658</v>
      </c>
      <c r="B164" s="30">
        <f>Datos!B164</f>
        <v>100</v>
      </c>
      <c r="C164" s="30">
        <f>Datos!C164</f>
        <v>0</v>
      </c>
      <c r="D164" s="30">
        <f>Datos!D164</f>
        <v>75</v>
      </c>
      <c r="E164" s="30">
        <f>(B164/600)*'PANEL DE CONTROL'!$C$7</f>
        <v>100</v>
      </c>
      <c r="F164" s="30">
        <f>(C164/150)*'PANEL DE CONTROL'!$C$8</f>
        <v>0</v>
      </c>
      <c r="G164" s="30">
        <f>(D164/250)*'PANEL DE CONTROL'!$C$9</f>
        <v>75</v>
      </c>
      <c r="H164" s="30">
        <f t="shared" si="1"/>
        <v>175</v>
      </c>
      <c r="I164" s="30">
        <f>IF(Datos!K164&gt;30,'PANEL DE CONTROL'!$D$14,0)+IF(Datos!M164&gt;80,'PANEL DE CONTROL'!$D$15,0)</f>
        <v>0</v>
      </c>
      <c r="J164" s="30">
        <f>IF(Datos!L164&lt;10,'PANEL DE CONTROL'!$D$16,0)+IF(Datos!N164&gt;24,'PANEL DE CONTROL'!$D$17,0)</f>
        <v>0</v>
      </c>
      <c r="K164" s="30">
        <f t="shared" si="2"/>
        <v>175</v>
      </c>
      <c r="L164" s="30">
        <f>Datos!G164</f>
        <v>439.43</v>
      </c>
      <c r="M164" s="30">
        <f>IF(Datos!O164="muy_nuevo",'PANEL DE CONTROL'!$C$22,IF(Datos!O164="nuevo",'PANEL DE CONTROL'!$C$23,IF(Datos!O164="intermedio",'PANEL DE CONTROL'!$C$24,IF(Datos!O164="establecido",'PANEL DE CONTROL'!$C$25,'PANEL DE CONTROL'!$C$26))))</f>
        <v>0.3</v>
      </c>
      <c r="N164" s="30">
        <f>IF(Datos!J164&gt;=20,0.1,IF(Datos!J164&lt;5,-0.1,0))</f>
        <v>0.1</v>
      </c>
      <c r="O164" s="30">
        <f t="shared" si="3"/>
        <v>0.4</v>
      </c>
      <c r="P164" s="30">
        <f t="shared" si="4"/>
        <v>333.658</v>
      </c>
      <c r="Q164" s="30" t="str">
        <f>IF(P164&gt;='PANEL DE CONTROL'!$B$30,"A+",IF(P164&gt;='PANEL DE CONTROL'!$B$31,"A",IF(P164&gt;='PANEL DE CONTROL'!$B$32,"A-",IF(P164&gt;='PANEL DE CONTROL'!$B$33,"B+",IF(P164&gt;='PANEL DE CONTROL'!$B$34,"B",IF(P164&gt;='PANEL DE CONTROL'!$B$35,"B-",IF(P164&gt;='PANEL DE CONTROL'!$B$36,"C+",IF(P164&gt;='PANEL DE CONTROL'!$B$37,"C",IF(P164&gt;='PANEL DE CONTROL'!$B$38,"C-",IF(P164&gt;='PANEL DE CONTROL'!$B$39,"D+",IF(P164&gt;='PANEL DE CONTROL'!$B$40,"D","F")))))))))))</f>
        <v>F</v>
      </c>
      <c r="R164" s="30" t="str">
        <f>Datos!I164</f>
        <v>F</v>
      </c>
      <c r="S164" s="30">
        <f>P164-Datos!H164</f>
        <v>-26.442</v>
      </c>
      <c r="T164" s="30" t="str">
        <f t="shared" si="5"/>
        <v>Empeora</v>
      </c>
      <c r="U164" s="30" t="str">
        <f>Datos!O164</f>
        <v>muy_nuevo</v>
      </c>
      <c r="V164" s="30" t="str">
        <f>Datos!Q164</f>
        <v>malo</v>
      </c>
    </row>
    <row r="165" ht="15.75" customHeight="1">
      <c r="A165" s="30">
        <f>Datos!A165</f>
        <v>53799848</v>
      </c>
      <c r="B165" s="30">
        <f>Datos!B165</f>
        <v>100</v>
      </c>
      <c r="C165" s="30">
        <f>Datos!C165</f>
        <v>0</v>
      </c>
      <c r="D165" s="30">
        <f>Datos!D165</f>
        <v>50</v>
      </c>
      <c r="E165" s="30">
        <f>(B165/600)*'PANEL DE CONTROL'!$C$7</f>
        <v>100</v>
      </c>
      <c r="F165" s="30">
        <f>(C165/150)*'PANEL DE CONTROL'!$C$8</f>
        <v>0</v>
      </c>
      <c r="G165" s="30">
        <f>(D165/250)*'PANEL DE CONTROL'!$C$9</f>
        <v>50</v>
      </c>
      <c r="H165" s="30">
        <f t="shared" si="1"/>
        <v>150</v>
      </c>
      <c r="I165" s="30">
        <f>IF(Datos!K165&gt;30,'PANEL DE CONTROL'!$D$14,0)+IF(Datos!M165&gt;80,'PANEL DE CONTROL'!$D$15,0)</f>
        <v>0</v>
      </c>
      <c r="J165" s="30">
        <f>IF(Datos!L165&lt;10,'PANEL DE CONTROL'!$D$16,0)+IF(Datos!N165&gt;24,'PANEL DE CONTROL'!$D$17,0)</f>
        <v>0</v>
      </c>
      <c r="K165" s="30">
        <f t="shared" si="2"/>
        <v>150</v>
      </c>
      <c r="L165" s="30">
        <f>Datos!G165</f>
        <v>516.19</v>
      </c>
      <c r="M165" s="30">
        <f>IF(Datos!O165="muy_nuevo",'PANEL DE CONTROL'!$C$22,IF(Datos!O165="nuevo",'PANEL DE CONTROL'!$C$23,IF(Datos!O165="intermedio",'PANEL DE CONTROL'!$C$24,IF(Datos!O165="establecido",'PANEL DE CONTROL'!$C$25,'PANEL DE CONTROL'!$C$26))))</f>
        <v>0.4</v>
      </c>
      <c r="N165" s="30">
        <f>IF(Datos!J165&gt;=20,0.1,IF(Datos!J165&lt;5,-0.1,0))</f>
        <v>0.1</v>
      </c>
      <c r="O165" s="30">
        <f t="shared" si="3"/>
        <v>0.5</v>
      </c>
      <c r="P165" s="30">
        <f t="shared" si="4"/>
        <v>333.095</v>
      </c>
      <c r="Q165" s="30" t="str">
        <f>IF(P165&gt;='PANEL DE CONTROL'!$B$30,"A+",IF(P165&gt;='PANEL DE CONTROL'!$B$31,"A",IF(P165&gt;='PANEL DE CONTROL'!$B$32,"A-",IF(P165&gt;='PANEL DE CONTROL'!$B$33,"B+",IF(P165&gt;='PANEL DE CONTROL'!$B$34,"B",IF(P165&gt;='PANEL DE CONTROL'!$B$35,"B-",IF(P165&gt;='PANEL DE CONTROL'!$B$36,"C+",IF(P165&gt;='PANEL DE CONTROL'!$B$37,"C",IF(P165&gt;='PANEL DE CONTROL'!$B$38,"C-",IF(P165&gt;='PANEL DE CONTROL'!$B$39,"D+",IF(P165&gt;='PANEL DE CONTROL'!$B$40,"D","F")))))))))))</f>
        <v>F</v>
      </c>
      <c r="R165" s="30" t="str">
        <f>Datos!I165</f>
        <v>F</v>
      </c>
      <c r="S165" s="30">
        <f>P165-Datos!H165</f>
        <v>-36.615</v>
      </c>
      <c r="T165" s="30" t="str">
        <f t="shared" si="5"/>
        <v>Empeora</v>
      </c>
      <c r="U165" s="30" t="str">
        <f>Datos!O165</f>
        <v>nuevo</v>
      </c>
      <c r="V165" s="30" t="str">
        <f>Datos!Q165</f>
        <v>malo</v>
      </c>
    </row>
    <row r="166" ht="15.75" customHeight="1">
      <c r="A166" s="30">
        <f>Datos!A166</f>
        <v>22061339</v>
      </c>
      <c r="B166" s="30">
        <f>Datos!B166</f>
        <v>200</v>
      </c>
      <c r="C166" s="30">
        <f>Datos!C166</f>
        <v>0</v>
      </c>
      <c r="D166" s="30">
        <f>Datos!D166</f>
        <v>50</v>
      </c>
      <c r="E166" s="30">
        <f>(B166/600)*'PANEL DE CONTROL'!$C$7</f>
        <v>200</v>
      </c>
      <c r="F166" s="30">
        <f>(C166/150)*'PANEL DE CONTROL'!$C$8</f>
        <v>0</v>
      </c>
      <c r="G166" s="30">
        <f>(D166/250)*'PANEL DE CONTROL'!$C$9</f>
        <v>50</v>
      </c>
      <c r="H166" s="30">
        <f t="shared" si="1"/>
        <v>250</v>
      </c>
      <c r="I166" s="30">
        <f>IF(Datos!K166&gt;30,'PANEL DE CONTROL'!$D$14,0)+IF(Datos!M166&gt;80,'PANEL DE CONTROL'!$D$15,0)</f>
        <v>0</v>
      </c>
      <c r="J166" s="30">
        <f>IF(Datos!L166&lt;10,'PANEL DE CONTROL'!$D$16,0)+IF(Datos!N166&gt;24,'PANEL DE CONTROL'!$D$17,0)</f>
        <v>0</v>
      </c>
      <c r="K166" s="30">
        <f t="shared" si="2"/>
        <v>250</v>
      </c>
      <c r="L166" s="30">
        <f>Datos!G166</f>
        <v>559.96</v>
      </c>
      <c r="M166" s="30">
        <f>IF(Datos!O166="muy_nuevo",'PANEL DE CONTROL'!$C$22,IF(Datos!O166="nuevo",'PANEL DE CONTROL'!$C$23,IF(Datos!O166="intermedio",'PANEL DE CONTROL'!$C$24,IF(Datos!O166="establecido",'PANEL DE CONTROL'!$C$25,'PANEL DE CONTROL'!$C$26))))</f>
        <v>0.4</v>
      </c>
      <c r="N166" s="30">
        <f>IF(Datos!J166&gt;=20,0.1,IF(Datos!J166&lt;5,-0.1,0))</f>
        <v>0.1</v>
      </c>
      <c r="O166" s="30">
        <f t="shared" si="3"/>
        <v>0.5</v>
      </c>
      <c r="P166" s="30">
        <f t="shared" si="4"/>
        <v>404.98</v>
      </c>
      <c r="Q166" s="30" t="str">
        <f>IF(P166&gt;='PANEL DE CONTROL'!$B$30,"A+",IF(P166&gt;='PANEL DE CONTROL'!$B$31,"A",IF(P166&gt;='PANEL DE CONTROL'!$B$32,"A-",IF(P166&gt;='PANEL DE CONTROL'!$B$33,"B+",IF(P166&gt;='PANEL DE CONTROL'!$B$34,"B",IF(P166&gt;='PANEL DE CONTROL'!$B$35,"B-",IF(P166&gt;='PANEL DE CONTROL'!$B$36,"C+",IF(P166&gt;='PANEL DE CONTROL'!$B$37,"C",IF(P166&gt;='PANEL DE CONTROL'!$B$38,"C-",IF(P166&gt;='PANEL DE CONTROL'!$B$39,"D+",IF(P166&gt;='PANEL DE CONTROL'!$B$40,"D","F")))))))))))</f>
        <v>D</v>
      </c>
      <c r="R166" s="30" t="str">
        <f>Datos!I166</f>
        <v>D</v>
      </c>
      <c r="S166" s="30">
        <f>P166-Datos!H166</f>
        <v>-30.99</v>
      </c>
      <c r="T166" s="30" t="str">
        <f t="shared" si="5"/>
        <v>Empeora</v>
      </c>
      <c r="U166" s="30" t="str">
        <f>Datos!O166</f>
        <v>nuevo</v>
      </c>
      <c r="V166" s="30" t="str">
        <f>Datos!Q166</f>
        <v>malo</v>
      </c>
    </row>
    <row r="167" ht="15.75" customHeight="1">
      <c r="A167" s="30">
        <f>Datos!A167</f>
        <v>25504766</v>
      </c>
      <c r="B167" s="30">
        <f>Datos!B167</f>
        <v>100</v>
      </c>
      <c r="C167" s="30">
        <f>Datos!C167</f>
        <v>50</v>
      </c>
      <c r="D167" s="30">
        <f>Datos!D167</f>
        <v>50</v>
      </c>
      <c r="E167" s="30">
        <f>(B167/600)*'PANEL DE CONTROL'!$C$7</f>
        <v>100</v>
      </c>
      <c r="F167" s="30">
        <f>(C167/150)*'PANEL DE CONTROL'!$C$8</f>
        <v>50</v>
      </c>
      <c r="G167" s="30">
        <f>(D167/250)*'PANEL DE CONTROL'!$C$9</f>
        <v>50</v>
      </c>
      <c r="H167" s="30">
        <f t="shared" si="1"/>
        <v>200</v>
      </c>
      <c r="I167" s="30">
        <f>IF(Datos!K167&gt;30,'PANEL DE CONTROL'!$D$14,0)+IF(Datos!M167&gt;80,'PANEL DE CONTROL'!$D$15,0)</f>
        <v>0</v>
      </c>
      <c r="J167" s="30">
        <f>IF(Datos!L167&lt;10,'PANEL DE CONTROL'!$D$16,0)+IF(Datos!N167&gt;24,'PANEL DE CONTROL'!$D$17,0)</f>
        <v>0</v>
      </c>
      <c r="K167" s="30">
        <f t="shared" si="2"/>
        <v>200</v>
      </c>
      <c r="L167" s="30">
        <f>Datos!G167</f>
        <v>526.63</v>
      </c>
      <c r="M167" s="30">
        <f>IF(Datos!O167="muy_nuevo",'PANEL DE CONTROL'!$C$22,IF(Datos!O167="nuevo",'PANEL DE CONTROL'!$C$23,IF(Datos!O167="intermedio",'PANEL DE CONTROL'!$C$24,IF(Datos!O167="establecido",'PANEL DE CONTROL'!$C$25,'PANEL DE CONTROL'!$C$26))))</f>
        <v>0.3</v>
      </c>
      <c r="N167" s="30">
        <f>IF(Datos!J167&gt;=20,0.1,IF(Datos!J167&lt;5,-0.1,0))</f>
        <v>0.1</v>
      </c>
      <c r="O167" s="30">
        <f t="shared" si="3"/>
        <v>0.4</v>
      </c>
      <c r="P167" s="30">
        <f t="shared" si="4"/>
        <v>395.978</v>
      </c>
      <c r="Q167" s="30" t="str">
        <f>IF(P167&gt;='PANEL DE CONTROL'!$B$30,"A+",IF(P167&gt;='PANEL DE CONTROL'!$B$31,"A",IF(P167&gt;='PANEL DE CONTROL'!$B$32,"A-",IF(P167&gt;='PANEL DE CONTROL'!$B$33,"B+",IF(P167&gt;='PANEL DE CONTROL'!$B$34,"B",IF(P167&gt;='PANEL DE CONTROL'!$B$35,"B-",IF(P167&gt;='PANEL DE CONTROL'!$B$36,"C+",IF(P167&gt;='PANEL DE CONTROL'!$B$37,"C",IF(P167&gt;='PANEL DE CONTROL'!$B$38,"C-",IF(P167&gt;='PANEL DE CONTROL'!$B$39,"D+",IF(P167&gt;='PANEL DE CONTROL'!$B$40,"D","F")))))))))))</f>
        <v>F</v>
      </c>
      <c r="R167" s="30" t="str">
        <f>Datos!I167</f>
        <v>D</v>
      </c>
      <c r="S167" s="30">
        <f>P167-Datos!H167</f>
        <v>-32.662</v>
      </c>
      <c r="T167" s="30" t="str">
        <f t="shared" si="5"/>
        <v>Empeora</v>
      </c>
      <c r="U167" s="30" t="str">
        <f>Datos!O167</f>
        <v>muy_nuevo</v>
      </c>
      <c r="V167" s="30" t="str">
        <f>Datos!Q167</f>
        <v>malo</v>
      </c>
    </row>
    <row r="168" ht="15.75" customHeight="1">
      <c r="A168" s="30">
        <f>Datos!A168</f>
        <v>15299465</v>
      </c>
      <c r="B168" s="30">
        <f>Datos!B168</f>
        <v>200</v>
      </c>
      <c r="C168" s="30">
        <f>Datos!C168</f>
        <v>50</v>
      </c>
      <c r="D168" s="30">
        <f>Datos!D168</f>
        <v>50</v>
      </c>
      <c r="E168" s="30">
        <f>(B168/600)*'PANEL DE CONTROL'!$C$7</f>
        <v>200</v>
      </c>
      <c r="F168" s="30">
        <f>(C168/150)*'PANEL DE CONTROL'!$C$8</f>
        <v>50</v>
      </c>
      <c r="G168" s="30">
        <f>(D168/250)*'PANEL DE CONTROL'!$C$9</f>
        <v>50</v>
      </c>
      <c r="H168" s="30">
        <f t="shared" si="1"/>
        <v>300</v>
      </c>
      <c r="I168" s="30">
        <f>IF(Datos!K168&gt;30,'PANEL DE CONTROL'!$D$14,0)+IF(Datos!M168&gt;80,'PANEL DE CONTROL'!$D$15,0)</f>
        <v>0</v>
      </c>
      <c r="J168" s="30">
        <f>IF(Datos!L168&lt;10,'PANEL DE CONTROL'!$D$16,0)+IF(Datos!N168&gt;24,'PANEL DE CONTROL'!$D$17,0)</f>
        <v>0</v>
      </c>
      <c r="K168" s="30">
        <f t="shared" si="2"/>
        <v>300</v>
      </c>
      <c r="L168" s="30">
        <f>Datos!G168</f>
        <v>581.18</v>
      </c>
      <c r="M168" s="30">
        <f>IF(Datos!O168="muy_nuevo",'PANEL DE CONTROL'!$C$22,IF(Datos!O168="nuevo",'PANEL DE CONTROL'!$C$23,IF(Datos!O168="intermedio",'PANEL DE CONTROL'!$C$24,IF(Datos!O168="establecido",'PANEL DE CONTROL'!$C$25,'PANEL DE CONTROL'!$C$26))))</f>
        <v>0.3</v>
      </c>
      <c r="N168" s="30">
        <f>IF(Datos!J168&gt;=20,0.1,IF(Datos!J168&lt;5,-0.1,0))</f>
        <v>0.1</v>
      </c>
      <c r="O168" s="30">
        <f t="shared" si="3"/>
        <v>0.4</v>
      </c>
      <c r="P168" s="30">
        <f t="shared" si="4"/>
        <v>468.708</v>
      </c>
      <c r="Q168" s="30" t="str">
        <f>IF(P168&gt;='PANEL DE CONTROL'!$B$30,"A+",IF(P168&gt;='PANEL DE CONTROL'!$B$31,"A",IF(P168&gt;='PANEL DE CONTROL'!$B$32,"A-",IF(P168&gt;='PANEL DE CONTROL'!$B$33,"B+",IF(P168&gt;='PANEL DE CONTROL'!$B$34,"B",IF(P168&gt;='PANEL DE CONTROL'!$B$35,"B-",IF(P168&gt;='PANEL DE CONTROL'!$B$36,"C+",IF(P168&gt;='PANEL DE CONTROL'!$B$37,"C",IF(P168&gt;='PANEL DE CONTROL'!$B$38,"C-",IF(P168&gt;='PANEL DE CONTROL'!$B$39,"D+",IF(P168&gt;='PANEL DE CONTROL'!$B$40,"D","F")))))))))))</f>
        <v>D+</v>
      </c>
      <c r="R168" s="30" t="str">
        <f>Datos!I168</f>
        <v>D</v>
      </c>
      <c r="S168" s="30">
        <f>P168-Datos!H168</f>
        <v>-28.112</v>
      </c>
      <c r="T168" s="30" t="str">
        <f t="shared" si="5"/>
        <v>Empeora</v>
      </c>
      <c r="U168" s="30" t="str">
        <f>Datos!O168</f>
        <v>muy_nuevo</v>
      </c>
      <c r="V168" s="30" t="str">
        <f>Datos!Q168</f>
        <v>malo</v>
      </c>
    </row>
    <row r="169" ht="15.75" customHeight="1">
      <c r="A169" s="30">
        <f>Datos!A169</f>
        <v>91780870</v>
      </c>
      <c r="B169" s="30">
        <f>Datos!B169</f>
        <v>100</v>
      </c>
      <c r="C169" s="30">
        <f>Datos!C169</f>
        <v>0</v>
      </c>
      <c r="D169" s="30">
        <f>Datos!D169</f>
        <v>75</v>
      </c>
      <c r="E169" s="30">
        <f>(B169/600)*'PANEL DE CONTROL'!$C$7</f>
        <v>100</v>
      </c>
      <c r="F169" s="30">
        <f>(C169/150)*'PANEL DE CONTROL'!$C$8</f>
        <v>0</v>
      </c>
      <c r="G169" s="30">
        <f>(D169/250)*'PANEL DE CONTROL'!$C$9</f>
        <v>75</v>
      </c>
      <c r="H169" s="30">
        <f t="shared" si="1"/>
        <v>175</v>
      </c>
      <c r="I169" s="30">
        <f>IF(Datos!K169&gt;30,'PANEL DE CONTROL'!$D$14,0)+IF(Datos!M169&gt;80,'PANEL DE CONTROL'!$D$15,0)</f>
        <v>0</v>
      </c>
      <c r="J169" s="30">
        <f>IF(Datos!L169&lt;10,'PANEL DE CONTROL'!$D$16,0)+IF(Datos!N169&gt;24,'PANEL DE CONTROL'!$D$17,0)</f>
        <v>0</v>
      </c>
      <c r="K169" s="30">
        <f t="shared" si="2"/>
        <v>175</v>
      </c>
      <c r="L169" s="30">
        <f>Datos!G169</f>
        <v>524.77</v>
      </c>
      <c r="M169" s="30">
        <f>IF(Datos!O169="muy_nuevo",'PANEL DE CONTROL'!$C$22,IF(Datos!O169="nuevo",'PANEL DE CONTROL'!$C$23,IF(Datos!O169="intermedio",'PANEL DE CONTROL'!$C$24,IF(Datos!O169="establecido",'PANEL DE CONTROL'!$C$25,'PANEL DE CONTROL'!$C$26))))</f>
        <v>0.3</v>
      </c>
      <c r="N169" s="30">
        <f>IF(Datos!J169&gt;=20,0.1,IF(Datos!J169&lt;5,-0.1,0))</f>
        <v>0</v>
      </c>
      <c r="O169" s="30">
        <f t="shared" si="3"/>
        <v>0.3</v>
      </c>
      <c r="P169" s="30">
        <f t="shared" si="4"/>
        <v>419.839</v>
      </c>
      <c r="Q169" s="30" t="str">
        <f>IF(P169&gt;='PANEL DE CONTROL'!$B$30,"A+",IF(P169&gt;='PANEL DE CONTROL'!$B$31,"A",IF(P169&gt;='PANEL DE CONTROL'!$B$32,"A-",IF(P169&gt;='PANEL DE CONTROL'!$B$33,"B+",IF(P169&gt;='PANEL DE CONTROL'!$B$34,"B",IF(P169&gt;='PANEL DE CONTROL'!$B$35,"B-",IF(P169&gt;='PANEL DE CONTROL'!$B$36,"C+",IF(P169&gt;='PANEL DE CONTROL'!$B$37,"C",IF(P169&gt;='PANEL DE CONTROL'!$B$38,"C-",IF(P169&gt;='PANEL DE CONTROL'!$B$39,"D+",IF(P169&gt;='PANEL DE CONTROL'!$B$40,"D","F")))))))))))</f>
        <v>D</v>
      </c>
      <c r="R169" s="30" t="str">
        <f>Datos!I169</f>
        <v>D</v>
      </c>
      <c r="S169" s="30">
        <f>P169-Datos!H169</f>
        <v>-0.001</v>
      </c>
      <c r="T169" s="30" t="str">
        <f t="shared" si="5"/>
        <v>Igual</v>
      </c>
      <c r="U169" s="30" t="str">
        <f>Datos!O169</f>
        <v>muy_nuevo</v>
      </c>
      <c r="V169" s="30" t="str">
        <f>Datos!Q169</f>
        <v>malo</v>
      </c>
    </row>
    <row r="170" ht="15.75" customHeight="1">
      <c r="A170" s="30">
        <f>Datos!A170</f>
        <v>16435830</v>
      </c>
      <c r="B170" s="30">
        <f>Datos!B170</f>
        <v>100</v>
      </c>
      <c r="C170" s="30">
        <f>Datos!C170</f>
        <v>50</v>
      </c>
      <c r="D170" s="30">
        <f>Datos!D170</f>
        <v>75</v>
      </c>
      <c r="E170" s="30">
        <f>(B170/600)*'PANEL DE CONTROL'!$C$7</f>
        <v>100</v>
      </c>
      <c r="F170" s="30">
        <f>(C170/150)*'PANEL DE CONTROL'!$C$8</f>
        <v>50</v>
      </c>
      <c r="G170" s="30">
        <f>(D170/250)*'PANEL DE CONTROL'!$C$9</f>
        <v>75</v>
      </c>
      <c r="H170" s="30">
        <f t="shared" si="1"/>
        <v>225</v>
      </c>
      <c r="I170" s="30">
        <f>IF(Datos!K170&gt;30,'PANEL DE CONTROL'!$D$14,0)+IF(Datos!M170&gt;80,'PANEL DE CONTROL'!$D$15,0)</f>
        <v>0</v>
      </c>
      <c r="J170" s="30">
        <f>IF(Datos!L170&lt;10,'PANEL DE CONTROL'!$D$16,0)+IF(Datos!N170&gt;24,'PANEL DE CONTROL'!$D$17,0)</f>
        <v>0</v>
      </c>
      <c r="K170" s="30">
        <f t="shared" si="2"/>
        <v>225</v>
      </c>
      <c r="L170" s="30">
        <f>Datos!G170</f>
        <v>446.05</v>
      </c>
      <c r="M170" s="30">
        <f>IF(Datos!O170="muy_nuevo",'PANEL DE CONTROL'!$C$22,IF(Datos!O170="nuevo",'PANEL DE CONTROL'!$C$23,IF(Datos!O170="intermedio",'PANEL DE CONTROL'!$C$24,IF(Datos!O170="establecido",'PANEL DE CONTROL'!$C$25,'PANEL DE CONTROL'!$C$26))))</f>
        <v>0.4</v>
      </c>
      <c r="N170" s="30">
        <f>IF(Datos!J170&gt;=20,0.1,IF(Datos!J170&lt;5,-0.1,0))</f>
        <v>0</v>
      </c>
      <c r="O170" s="30">
        <f t="shared" si="3"/>
        <v>0.4</v>
      </c>
      <c r="P170" s="30">
        <f t="shared" si="4"/>
        <v>357.63</v>
      </c>
      <c r="Q170" s="30" t="str">
        <f>IF(P170&gt;='PANEL DE CONTROL'!$B$30,"A+",IF(P170&gt;='PANEL DE CONTROL'!$B$31,"A",IF(P170&gt;='PANEL DE CONTROL'!$B$32,"A-",IF(P170&gt;='PANEL DE CONTROL'!$B$33,"B+",IF(P170&gt;='PANEL DE CONTROL'!$B$34,"B",IF(P170&gt;='PANEL DE CONTROL'!$B$35,"B-",IF(P170&gt;='PANEL DE CONTROL'!$B$36,"C+",IF(P170&gt;='PANEL DE CONTROL'!$B$37,"C",IF(P170&gt;='PANEL DE CONTROL'!$B$38,"C-",IF(P170&gt;='PANEL DE CONTROL'!$B$39,"D+",IF(P170&gt;='PANEL DE CONTROL'!$B$40,"D","F")))))))))))</f>
        <v>F</v>
      </c>
      <c r="R170" s="30" t="str">
        <f>Datos!I170</f>
        <v>F</v>
      </c>
      <c r="S170" s="30">
        <f>P170-Datos!H170</f>
        <v>0</v>
      </c>
      <c r="T170" s="30" t="str">
        <f t="shared" si="5"/>
        <v>Igual</v>
      </c>
      <c r="U170" s="30" t="str">
        <f>Datos!O170</f>
        <v>nuevo</v>
      </c>
      <c r="V170" s="30" t="str">
        <f>Datos!Q170</f>
        <v>malo</v>
      </c>
    </row>
    <row r="171" ht="15.75" customHeight="1">
      <c r="A171" s="30">
        <f>Datos!A171</f>
        <v>90778298</v>
      </c>
      <c r="B171" s="30">
        <f>Datos!B171</f>
        <v>100</v>
      </c>
      <c r="C171" s="30">
        <f>Datos!C171</f>
        <v>0</v>
      </c>
      <c r="D171" s="30">
        <f>Datos!D171</f>
        <v>50</v>
      </c>
      <c r="E171" s="30">
        <f>(B171/600)*'PANEL DE CONTROL'!$C$7</f>
        <v>100</v>
      </c>
      <c r="F171" s="30">
        <f>(C171/150)*'PANEL DE CONTROL'!$C$8</f>
        <v>0</v>
      </c>
      <c r="G171" s="30">
        <f>(D171/250)*'PANEL DE CONTROL'!$C$9</f>
        <v>50</v>
      </c>
      <c r="H171" s="30">
        <f t="shared" si="1"/>
        <v>150</v>
      </c>
      <c r="I171" s="30">
        <f>IF(Datos!K171&gt;30,'PANEL DE CONTROL'!$D$14,0)+IF(Datos!M171&gt;80,'PANEL DE CONTROL'!$D$15,0)</f>
        <v>0</v>
      </c>
      <c r="J171" s="30">
        <f>IF(Datos!L171&lt;10,'PANEL DE CONTROL'!$D$16,0)+IF(Datos!N171&gt;24,'PANEL DE CONTROL'!$D$17,0)</f>
        <v>0</v>
      </c>
      <c r="K171" s="30">
        <f t="shared" si="2"/>
        <v>150</v>
      </c>
      <c r="L171" s="30">
        <f>Datos!G171</f>
        <v>535.17</v>
      </c>
      <c r="M171" s="30">
        <f>IF(Datos!O171="muy_nuevo",'PANEL DE CONTROL'!$C$22,IF(Datos!O171="nuevo",'PANEL DE CONTROL'!$C$23,IF(Datos!O171="intermedio",'PANEL DE CONTROL'!$C$24,IF(Datos!O171="establecido",'PANEL DE CONTROL'!$C$25,'PANEL DE CONTROL'!$C$26))))</f>
        <v>0.3</v>
      </c>
      <c r="N171" s="30">
        <f>IF(Datos!J171&gt;=20,0.1,IF(Datos!J171&lt;5,-0.1,0))</f>
        <v>0.1</v>
      </c>
      <c r="O171" s="30">
        <f t="shared" si="3"/>
        <v>0.4</v>
      </c>
      <c r="P171" s="30">
        <f t="shared" si="4"/>
        <v>381.102</v>
      </c>
      <c r="Q171" s="30" t="str">
        <f>IF(P171&gt;='PANEL DE CONTROL'!$B$30,"A+",IF(P171&gt;='PANEL DE CONTROL'!$B$31,"A",IF(P171&gt;='PANEL DE CONTROL'!$B$32,"A-",IF(P171&gt;='PANEL DE CONTROL'!$B$33,"B+",IF(P171&gt;='PANEL DE CONTROL'!$B$34,"B",IF(P171&gt;='PANEL DE CONTROL'!$B$35,"B-",IF(P171&gt;='PANEL DE CONTROL'!$B$36,"C+",IF(P171&gt;='PANEL DE CONTROL'!$B$37,"C",IF(P171&gt;='PANEL DE CONTROL'!$B$38,"C-",IF(P171&gt;='PANEL DE CONTROL'!$B$39,"D+",IF(P171&gt;='PANEL DE CONTROL'!$B$40,"D","F")))))))))))</f>
        <v>F</v>
      </c>
      <c r="R171" s="30" t="str">
        <f>Datos!I171</f>
        <v>D</v>
      </c>
      <c r="S171" s="30">
        <f>P171-Datos!H171</f>
        <v>-38.518</v>
      </c>
      <c r="T171" s="30" t="str">
        <f t="shared" si="5"/>
        <v>Empeora</v>
      </c>
      <c r="U171" s="30" t="str">
        <f>Datos!O171</f>
        <v>muy_nuevo</v>
      </c>
      <c r="V171" s="30" t="str">
        <f>Datos!Q171</f>
        <v>malo</v>
      </c>
    </row>
    <row r="172" ht="15.75" customHeight="1">
      <c r="A172" s="30">
        <f>Datos!A172</f>
        <v>43885861</v>
      </c>
      <c r="B172" s="30">
        <f>Datos!B172</f>
        <v>200</v>
      </c>
      <c r="C172" s="30">
        <f>Datos!C172</f>
        <v>0</v>
      </c>
      <c r="D172" s="30">
        <f>Datos!D172</f>
        <v>50</v>
      </c>
      <c r="E172" s="30">
        <f>(B172/600)*'PANEL DE CONTROL'!$C$7</f>
        <v>200</v>
      </c>
      <c r="F172" s="30">
        <f>(C172/150)*'PANEL DE CONTROL'!$C$8</f>
        <v>0</v>
      </c>
      <c r="G172" s="30">
        <f>(D172/250)*'PANEL DE CONTROL'!$C$9</f>
        <v>50</v>
      </c>
      <c r="H172" s="30">
        <f t="shared" si="1"/>
        <v>250</v>
      </c>
      <c r="I172" s="30">
        <f>IF(Datos!K172&gt;30,'PANEL DE CONTROL'!$D$14,0)+IF(Datos!M172&gt;80,'PANEL DE CONTROL'!$D$15,0)</f>
        <v>0</v>
      </c>
      <c r="J172" s="30">
        <f>IF(Datos!L172&lt;10,'PANEL DE CONTROL'!$D$16,0)+IF(Datos!N172&gt;24,'PANEL DE CONTROL'!$D$17,0)</f>
        <v>0</v>
      </c>
      <c r="K172" s="30">
        <f t="shared" si="2"/>
        <v>250</v>
      </c>
      <c r="L172" s="30">
        <f>Datos!G172</f>
        <v>454.83</v>
      </c>
      <c r="M172" s="30">
        <f>IF(Datos!O172="muy_nuevo",'PANEL DE CONTROL'!$C$22,IF(Datos!O172="nuevo",'PANEL DE CONTROL'!$C$23,IF(Datos!O172="intermedio",'PANEL DE CONTROL'!$C$24,IF(Datos!O172="establecido",'PANEL DE CONTROL'!$C$25,'PANEL DE CONTROL'!$C$26))))</f>
        <v>0.4</v>
      </c>
      <c r="N172" s="30">
        <f>IF(Datos!J172&gt;=20,0.1,IF(Datos!J172&lt;5,-0.1,0))</f>
        <v>0.1</v>
      </c>
      <c r="O172" s="30">
        <f t="shared" si="3"/>
        <v>0.5</v>
      </c>
      <c r="P172" s="30">
        <f t="shared" si="4"/>
        <v>352.415</v>
      </c>
      <c r="Q172" s="30" t="str">
        <f>IF(P172&gt;='PANEL DE CONTROL'!$B$30,"A+",IF(P172&gt;='PANEL DE CONTROL'!$B$31,"A",IF(P172&gt;='PANEL DE CONTROL'!$B$32,"A-",IF(P172&gt;='PANEL DE CONTROL'!$B$33,"B+",IF(P172&gt;='PANEL DE CONTROL'!$B$34,"B",IF(P172&gt;='PANEL DE CONTROL'!$B$35,"B-",IF(P172&gt;='PANEL DE CONTROL'!$B$36,"C+",IF(P172&gt;='PANEL DE CONTROL'!$B$37,"C",IF(P172&gt;='PANEL DE CONTROL'!$B$38,"C-",IF(P172&gt;='PANEL DE CONTROL'!$B$39,"D+",IF(P172&gt;='PANEL DE CONTROL'!$B$40,"D","F")))))))))))</f>
        <v>F</v>
      </c>
      <c r="R172" s="30" t="str">
        <f>Datos!I172</f>
        <v>F</v>
      </c>
      <c r="S172" s="30">
        <f>P172-Datos!H172</f>
        <v>-20.485</v>
      </c>
      <c r="T172" s="30" t="str">
        <f t="shared" si="5"/>
        <v>Empeora</v>
      </c>
      <c r="U172" s="30" t="str">
        <f>Datos!O172</f>
        <v>nuevo</v>
      </c>
      <c r="V172" s="30" t="str">
        <f>Datos!Q172</f>
        <v>malo</v>
      </c>
    </row>
    <row r="173" ht="15.75" customHeight="1">
      <c r="A173" s="30">
        <f>Datos!A173</f>
        <v>18968375</v>
      </c>
      <c r="B173" s="30">
        <f>Datos!B173</f>
        <v>200</v>
      </c>
      <c r="C173" s="30">
        <f>Datos!C173</f>
        <v>50</v>
      </c>
      <c r="D173" s="30">
        <f>Datos!D173</f>
        <v>50</v>
      </c>
      <c r="E173" s="30">
        <f>(B173/600)*'PANEL DE CONTROL'!$C$7</f>
        <v>200</v>
      </c>
      <c r="F173" s="30">
        <f>(C173/150)*'PANEL DE CONTROL'!$C$8</f>
        <v>50</v>
      </c>
      <c r="G173" s="30">
        <f>(D173/250)*'PANEL DE CONTROL'!$C$9</f>
        <v>50</v>
      </c>
      <c r="H173" s="30">
        <f t="shared" si="1"/>
        <v>300</v>
      </c>
      <c r="I173" s="30">
        <f>IF(Datos!K173&gt;30,'PANEL DE CONTROL'!$D$14,0)+IF(Datos!M173&gt;80,'PANEL DE CONTROL'!$D$15,0)</f>
        <v>0</v>
      </c>
      <c r="J173" s="30">
        <f>IF(Datos!L173&lt;10,'PANEL DE CONTROL'!$D$16,0)+IF(Datos!N173&gt;24,'PANEL DE CONTROL'!$D$17,0)</f>
        <v>0</v>
      </c>
      <c r="K173" s="30">
        <f t="shared" si="2"/>
        <v>300</v>
      </c>
      <c r="L173" s="30">
        <f>Datos!G173</f>
        <v>503.81</v>
      </c>
      <c r="M173" s="30">
        <f>IF(Datos!O173="muy_nuevo",'PANEL DE CONTROL'!$C$22,IF(Datos!O173="nuevo",'PANEL DE CONTROL'!$C$23,IF(Datos!O173="intermedio",'PANEL DE CONTROL'!$C$24,IF(Datos!O173="establecido",'PANEL DE CONTROL'!$C$25,'PANEL DE CONTROL'!$C$26))))</f>
        <v>0.4</v>
      </c>
      <c r="N173" s="30">
        <f>IF(Datos!J173&gt;=20,0.1,IF(Datos!J173&lt;5,-0.1,0))</f>
        <v>0</v>
      </c>
      <c r="O173" s="30">
        <f t="shared" si="3"/>
        <v>0.4</v>
      </c>
      <c r="P173" s="30">
        <f t="shared" si="4"/>
        <v>422.286</v>
      </c>
      <c r="Q173" s="30" t="str">
        <f>IF(P173&gt;='PANEL DE CONTROL'!$B$30,"A+",IF(P173&gt;='PANEL DE CONTROL'!$B$31,"A",IF(P173&gt;='PANEL DE CONTROL'!$B$32,"A-",IF(P173&gt;='PANEL DE CONTROL'!$B$33,"B+",IF(P173&gt;='PANEL DE CONTROL'!$B$34,"B",IF(P173&gt;='PANEL DE CONTROL'!$B$35,"B-",IF(P173&gt;='PANEL DE CONTROL'!$B$36,"C+",IF(P173&gt;='PANEL DE CONTROL'!$B$37,"C",IF(P173&gt;='PANEL DE CONTROL'!$B$38,"C-",IF(P173&gt;='PANEL DE CONTROL'!$B$39,"D+",IF(P173&gt;='PANEL DE CONTROL'!$B$40,"D","F")))))))))))</f>
        <v>D</v>
      </c>
      <c r="R173" s="30" t="str">
        <f>Datos!I173</f>
        <v>D</v>
      </c>
      <c r="S173" s="30">
        <f>P173-Datos!H173</f>
        <v>-0.004</v>
      </c>
      <c r="T173" s="30" t="str">
        <f t="shared" si="5"/>
        <v>Igual</v>
      </c>
      <c r="U173" s="30" t="str">
        <f>Datos!O173</f>
        <v>nuevo</v>
      </c>
      <c r="V173" s="30" t="str">
        <f>Datos!Q173</f>
        <v>malo</v>
      </c>
    </row>
    <row r="174" ht="15.75" customHeight="1">
      <c r="A174" s="30">
        <f>Datos!A174</f>
        <v>26586289</v>
      </c>
      <c r="B174" s="30">
        <f>Datos!B174</f>
        <v>100</v>
      </c>
      <c r="C174" s="30">
        <f>Datos!C174</f>
        <v>50</v>
      </c>
      <c r="D174" s="30">
        <f>Datos!D174</f>
        <v>50</v>
      </c>
      <c r="E174" s="30">
        <f>(B174/600)*'PANEL DE CONTROL'!$C$7</f>
        <v>100</v>
      </c>
      <c r="F174" s="30">
        <f>(C174/150)*'PANEL DE CONTROL'!$C$8</f>
        <v>50</v>
      </c>
      <c r="G174" s="30">
        <f>(D174/250)*'PANEL DE CONTROL'!$C$9</f>
        <v>50</v>
      </c>
      <c r="H174" s="30">
        <f t="shared" si="1"/>
        <v>200</v>
      </c>
      <c r="I174" s="30">
        <f>IF(Datos!K174&gt;30,'PANEL DE CONTROL'!$D$14,0)+IF(Datos!M174&gt;80,'PANEL DE CONTROL'!$D$15,0)</f>
        <v>0</v>
      </c>
      <c r="J174" s="30">
        <f>IF(Datos!L174&lt;10,'PANEL DE CONTROL'!$D$16,0)+IF(Datos!N174&gt;24,'PANEL DE CONTROL'!$D$17,0)</f>
        <v>0</v>
      </c>
      <c r="K174" s="30">
        <f t="shared" si="2"/>
        <v>200</v>
      </c>
      <c r="L174" s="30">
        <f>Datos!G174</f>
        <v>466.6</v>
      </c>
      <c r="M174" s="30">
        <f>IF(Datos!O174="muy_nuevo",'PANEL DE CONTROL'!$C$22,IF(Datos!O174="nuevo",'PANEL DE CONTROL'!$C$23,IF(Datos!O174="intermedio",'PANEL DE CONTROL'!$C$24,IF(Datos!O174="establecido",'PANEL DE CONTROL'!$C$25,'PANEL DE CONTROL'!$C$26))))</f>
        <v>0.3</v>
      </c>
      <c r="N174" s="30">
        <f>IF(Datos!J174&gt;=20,0.1,IF(Datos!J174&lt;5,-0.1,0))</f>
        <v>0.1</v>
      </c>
      <c r="O174" s="30">
        <f t="shared" si="3"/>
        <v>0.4</v>
      </c>
      <c r="P174" s="30">
        <f t="shared" si="4"/>
        <v>359.96</v>
      </c>
      <c r="Q174" s="30" t="str">
        <f>IF(P174&gt;='PANEL DE CONTROL'!$B$30,"A+",IF(P174&gt;='PANEL DE CONTROL'!$B$31,"A",IF(P174&gt;='PANEL DE CONTROL'!$B$32,"A-",IF(P174&gt;='PANEL DE CONTROL'!$B$33,"B+",IF(P174&gt;='PANEL DE CONTROL'!$B$34,"B",IF(P174&gt;='PANEL DE CONTROL'!$B$35,"B-",IF(P174&gt;='PANEL DE CONTROL'!$B$36,"C+",IF(P174&gt;='PANEL DE CONTROL'!$B$37,"C",IF(P174&gt;='PANEL DE CONTROL'!$B$38,"C-",IF(P174&gt;='PANEL DE CONTROL'!$B$39,"D+",IF(P174&gt;='PANEL DE CONTROL'!$B$40,"D","F")))))))))))</f>
        <v>F</v>
      </c>
      <c r="R174" s="30" t="str">
        <f>Datos!I174</f>
        <v>F</v>
      </c>
      <c r="S174" s="30">
        <f>P174-Datos!H174</f>
        <v>-26.66</v>
      </c>
      <c r="T174" s="30" t="str">
        <f t="shared" si="5"/>
        <v>Empeora</v>
      </c>
      <c r="U174" s="30" t="str">
        <f>Datos!O174</f>
        <v>muy_nuevo</v>
      </c>
      <c r="V174" s="30" t="str">
        <f>Datos!Q174</f>
        <v>malo</v>
      </c>
    </row>
    <row r="175" ht="15.75" customHeight="1">
      <c r="A175" s="30">
        <f>Datos!A175</f>
        <v>45244106</v>
      </c>
      <c r="B175" s="30">
        <f>Datos!B175</f>
        <v>100</v>
      </c>
      <c r="C175" s="30">
        <f>Datos!C175</f>
        <v>0</v>
      </c>
      <c r="D175" s="30">
        <f>Datos!D175</f>
        <v>75</v>
      </c>
      <c r="E175" s="30">
        <f>(B175/600)*'PANEL DE CONTROL'!$C$7</f>
        <v>100</v>
      </c>
      <c r="F175" s="30">
        <f>(C175/150)*'PANEL DE CONTROL'!$C$8</f>
        <v>0</v>
      </c>
      <c r="G175" s="30">
        <f>(D175/250)*'PANEL DE CONTROL'!$C$9</f>
        <v>75</v>
      </c>
      <c r="H175" s="30">
        <f t="shared" si="1"/>
        <v>175</v>
      </c>
      <c r="I175" s="30">
        <f>IF(Datos!K175&gt;30,'PANEL DE CONTROL'!$D$14,0)+IF(Datos!M175&gt;80,'PANEL DE CONTROL'!$D$15,0)</f>
        <v>0</v>
      </c>
      <c r="J175" s="30">
        <f>IF(Datos!L175&lt;10,'PANEL DE CONTROL'!$D$16,0)+IF(Datos!N175&gt;24,'PANEL DE CONTROL'!$D$17,0)</f>
        <v>0</v>
      </c>
      <c r="K175" s="30">
        <f t="shared" si="2"/>
        <v>175</v>
      </c>
      <c r="L175" s="30">
        <f>Datos!G175</f>
        <v>591.53</v>
      </c>
      <c r="M175" s="30">
        <f>IF(Datos!O175="muy_nuevo",'PANEL DE CONTROL'!$C$22,IF(Datos!O175="nuevo",'PANEL DE CONTROL'!$C$23,IF(Datos!O175="intermedio",'PANEL DE CONTROL'!$C$24,IF(Datos!O175="establecido",'PANEL DE CONTROL'!$C$25,'PANEL DE CONTROL'!$C$26))))</f>
        <v>0.4</v>
      </c>
      <c r="N175" s="30">
        <f>IF(Datos!J175&gt;=20,0.1,IF(Datos!J175&lt;5,-0.1,0))</f>
        <v>0.1</v>
      </c>
      <c r="O175" s="30">
        <f t="shared" si="3"/>
        <v>0.5</v>
      </c>
      <c r="P175" s="30">
        <f t="shared" si="4"/>
        <v>383.265</v>
      </c>
      <c r="Q175" s="30" t="str">
        <f>IF(P175&gt;='PANEL DE CONTROL'!$B$30,"A+",IF(P175&gt;='PANEL DE CONTROL'!$B$31,"A",IF(P175&gt;='PANEL DE CONTROL'!$B$32,"A-",IF(P175&gt;='PANEL DE CONTROL'!$B$33,"B+",IF(P175&gt;='PANEL DE CONTROL'!$B$34,"B",IF(P175&gt;='PANEL DE CONTROL'!$B$35,"B-",IF(P175&gt;='PANEL DE CONTROL'!$B$36,"C+",IF(P175&gt;='PANEL DE CONTROL'!$B$37,"C",IF(P175&gt;='PANEL DE CONTROL'!$B$38,"C-",IF(P175&gt;='PANEL DE CONTROL'!$B$39,"D+",IF(P175&gt;='PANEL DE CONTROL'!$B$40,"D","F")))))))))))</f>
        <v>F</v>
      </c>
      <c r="R175" s="30" t="str">
        <f>Datos!I175</f>
        <v>D</v>
      </c>
      <c r="S175" s="30">
        <f>P175-Datos!H175</f>
        <v>-41.655</v>
      </c>
      <c r="T175" s="30" t="str">
        <f t="shared" si="5"/>
        <v>Empeora</v>
      </c>
      <c r="U175" s="30" t="str">
        <f>Datos!O175</f>
        <v>nuevo</v>
      </c>
      <c r="V175" s="30" t="str">
        <f>Datos!Q175</f>
        <v>malo</v>
      </c>
    </row>
    <row r="176" ht="15.75" customHeight="1">
      <c r="A176" s="30">
        <f>Datos!A176</f>
        <v>12679148</v>
      </c>
      <c r="B176" s="30">
        <f>Datos!B176</f>
        <v>200</v>
      </c>
      <c r="C176" s="30">
        <f>Datos!C176</f>
        <v>0</v>
      </c>
      <c r="D176" s="30">
        <f>Datos!D176</f>
        <v>50</v>
      </c>
      <c r="E176" s="30">
        <f>(B176/600)*'PANEL DE CONTROL'!$C$7</f>
        <v>200</v>
      </c>
      <c r="F176" s="30">
        <f>(C176/150)*'PANEL DE CONTROL'!$C$8</f>
        <v>0</v>
      </c>
      <c r="G176" s="30">
        <f>(D176/250)*'PANEL DE CONTROL'!$C$9</f>
        <v>50</v>
      </c>
      <c r="H176" s="30">
        <f t="shared" si="1"/>
        <v>250</v>
      </c>
      <c r="I176" s="30">
        <f>IF(Datos!K176&gt;30,'PANEL DE CONTROL'!$D$14,0)+IF(Datos!M176&gt;80,'PANEL DE CONTROL'!$D$15,0)</f>
        <v>0</v>
      </c>
      <c r="J176" s="30">
        <f>IF(Datos!L176&lt;10,'PANEL DE CONTROL'!$D$16,0)+IF(Datos!N176&gt;24,'PANEL DE CONTROL'!$D$17,0)</f>
        <v>0</v>
      </c>
      <c r="K176" s="30">
        <f t="shared" si="2"/>
        <v>250</v>
      </c>
      <c r="L176" s="30">
        <f>Datos!G176</f>
        <v>532.98</v>
      </c>
      <c r="M176" s="30">
        <f>IF(Datos!O176="muy_nuevo",'PANEL DE CONTROL'!$C$22,IF(Datos!O176="nuevo",'PANEL DE CONTROL'!$C$23,IF(Datos!O176="intermedio",'PANEL DE CONTROL'!$C$24,IF(Datos!O176="establecido",'PANEL DE CONTROL'!$C$25,'PANEL DE CONTROL'!$C$26))))</f>
        <v>0.3</v>
      </c>
      <c r="N176" s="30">
        <f>IF(Datos!J176&gt;=20,0.1,IF(Datos!J176&lt;5,-0.1,0))</f>
        <v>0.1</v>
      </c>
      <c r="O176" s="30">
        <f t="shared" si="3"/>
        <v>0.4</v>
      </c>
      <c r="P176" s="30">
        <f t="shared" si="4"/>
        <v>419.788</v>
      </c>
      <c r="Q176" s="30" t="str">
        <f>IF(P176&gt;='PANEL DE CONTROL'!$B$30,"A+",IF(P176&gt;='PANEL DE CONTROL'!$B$31,"A",IF(P176&gt;='PANEL DE CONTROL'!$B$32,"A-",IF(P176&gt;='PANEL DE CONTROL'!$B$33,"B+",IF(P176&gt;='PANEL DE CONTROL'!$B$34,"B",IF(P176&gt;='PANEL DE CONTROL'!$B$35,"B-",IF(P176&gt;='PANEL DE CONTROL'!$B$36,"C+",IF(P176&gt;='PANEL DE CONTROL'!$B$37,"C",IF(P176&gt;='PANEL DE CONTROL'!$B$38,"C-",IF(P176&gt;='PANEL DE CONTROL'!$B$39,"D+",IF(P176&gt;='PANEL DE CONTROL'!$B$40,"D","F")))))))))))</f>
        <v>D</v>
      </c>
      <c r="R176" s="30" t="str">
        <f>Datos!I176</f>
        <v>D</v>
      </c>
      <c r="S176" s="30">
        <f>P176-Datos!H176</f>
        <v>-28.302</v>
      </c>
      <c r="T176" s="30" t="str">
        <f t="shared" si="5"/>
        <v>Empeora</v>
      </c>
      <c r="U176" s="30" t="str">
        <f>Datos!O176</f>
        <v>muy_nuevo</v>
      </c>
      <c r="V176" s="30" t="str">
        <f>Datos!Q176</f>
        <v>malo</v>
      </c>
    </row>
    <row r="177" ht="15.75" customHeight="1">
      <c r="A177" s="30">
        <f>Datos!A177</f>
        <v>25317834</v>
      </c>
      <c r="B177" s="30">
        <f>Datos!B177</f>
        <v>100</v>
      </c>
      <c r="C177" s="30">
        <f>Datos!C177</f>
        <v>0</v>
      </c>
      <c r="D177" s="30">
        <f>Datos!D177</f>
        <v>75</v>
      </c>
      <c r="E177" s="30">
        <f>(B177/600)*'PANEL DE CONTROL'!$C$7</f>
        <v>100</v>
      </c>
      <c r="F177" s="30">
        <f>(C177/150)*'PANEL DE CONTROL'!$C$8</f>
        <v>0</v>
      </c>
      <c r="G177" s="30">
        <f>(D177/250)*'PANEL DE CONTROL'!$C$9</f>
        <v>75</v>
      </c>
      <c r="H177" s="30">
        <f t="shared" si="1"/>
        <v>175</v>
      </c>
      <c r="I177" s="30">
        <f>IF(Datos!K177&gt;30,'PANEL DE CONTROL'!$D$14,0)+IF(Datos!M177&gt;80,'PANEL DE CONTROL'!$D$15,0)</f>
        <v>0</v>
      </c>
      <c r="J177" s="30">
        <f>IF(Datos!L177&lt;10,'PANEL DE CONTROL'!$D$16,0)+IF(Datos!N177&gt;24,'PANEL DE CONTROL'!$D$17,0)</f>
        <v>0</v>
      </c>
      <c r="K177" s="30">
        <f t="shared" si="2"/>
        <v>175</v>
      </c>
      <c r="L177" s="30">
        <f>Datos!G177</f>
        <v>568.41</v>
      </c>
      <c r="M177" s="30">
        <f>IF(Datos!O177="muy_nuevo",'PANEL DE CONTROL'!$C$22,IF(Datos!O177="nuevo",'PANEL DE CONTROL'!$C$23,IF(Datos!O177="intermedio",'PANEL DE CONTROL'!$C$24,IF(Datos!O177="establecido",'PANEL DE CONTROL'!$C$25,'PANEL DE CONTROL'!$C$26))))</f>
        <v>0.3</v>
      </c>
      <c r="N177" s="30">
        <f>IF(Datos!J177&gt;=20,0.1,IF(Datos!J177&lt;5,-0.1,0))</f>
        <v>0</v>
      </c>
      <c r="O177" s="30">
        <f t="shared" si="3"/>
        <v>0.3</v>
      </c>
      <c r="P177" s="30">
        <f t="shared" si="4"/>
        <v>450.387</v>
      </c>
      <c r="Q177" s="30" t="str">
        <f>IF(P177&gt;='PANEL DE CONTROL'!$B$30,"A+",IF(P177&gt;='PANEL DE CONTROL'!$B$31,"A",IF(P177&gt;='PANEL DE CONTROL'!$B$32,"A-",IF(P177&gt;='PANEL DE CONTROL'!$B$33,"B+",IF(P177&gt;='PANEL DE CONTROL'!$B$34,"B",IF(P177&gt;='PANEL DE CONTROL'!$B$35,"B-",IF(P177&gt;='PANEL DE CONTROL'!$B$36,"C+",IF(P177&gt;='PANEL DE CONTROL'!$B$37,"C",IF(P177&gt;='PANEL DE CONTROL'!$B$38,"C-",IF(P177&gt;='PANEL DE CONTROL'!$B$39,"D+",IF(P177&gt;='PANEL DE CONTROL'!$B$40,"D","F")))))))))))</f>
        <v>D+</v>
      </c>
      <c r="R177" s="30" t="str">
        <f>Datos!I177</f>
        <v>D</v>
      </c>
      <c r="S177" s="30">
        <f>P177-Datos!H177</f>
        <v>0.007</v>
      </c>
      <c r="T177" s="30" t="str">
        <f t="shared" si="5"/>
        <v>Igual</v>
      </c>
      <c r="U177" s="30" t="str">
        <f>Datos!O177</f>
        <v>muy_nuevo</v>
      </c>
      <c r="V177" s="30" t="str">
        <f>Datos!Q177</f>
        <v>malo</v>
      </c>
    </row>
    <row r="178" ht="15.75" customHeight="1">
      <c r="A178" s="30">
        <f>Datos!A178</f>
        <v>62866526</v>
      </c>
      <c r="B178" s="30">
        <f>Datos!B178</f>
        <v>100</v>
      </c>
      <c r="C178" s="30">
        <f>Datos!C178</f>
        <v>50</v>
      </c>
      <c r="D178" s="30">
        <f>Datos!D178</f>
        <v>75</v>
      </c>
      <c r="E178" s="30">
        <f>(B178/600)*'PANEL DE CONTROL'!$C$7</f>
        <v>100</v>
      </c>
      <c r="F178" s="30">
        <f>(C178/150)*'PANEL DE CONTROL'!$C$8</f>
        <v>50</v>
      </c>
      <c r="G178" s="30">
        <f>(D178/250)*'PANEL DE CONTROL'!$C$9</f>
        <v>75</v>
      </c>
      <c r="H178" s="30">
        <f t="shared" si="1"/>
        <v>225</v>
      </c>
      <c r="I178" s="30">
        <f>IF(Datos!K178&gt;30,'PANEL DE CONTROL'!$D$14,0)+IF(Datos!M178&gt;80,'PANEL DE CONTROL'!$D$15,0)</f>
        <v>0</v>
      </c>
      <c r="J178" s="30">
        <f>IF(Datos!L178&lt;10,'PANEL DE CONTROL'!$D$16,0)+IF(Datos!N178&gt;24,'PANEL DE CONTROL'!$D$17,0)</f>
        <v>0</v>
      </c>
      <c r="K178" s="30">
        <f t="shared" si="2"/>
        <v>225</v>
      </c>
      <c r="L178" s="30">
        <f>Datos!G178</f>
        <v>407.23</v>
      </c>
      <c r="M178" s="30">
        <f>IF(Datos!O178="muy_nuevo",'PANEL DE CONTROL'!$C$22,IF(Datos!O178="nuevo",'PANEL DE CONTROL'!$C$23,IF(Datos!O178="intermedio",'PANEL DE CONTROL'!$C$24,IF(Datos!O178="establecido",'PANEL DE CONTROL'!$C$25,'PANEL DE CONTROL'!$C$26))))</f>
        <v>0.4</v>
      </c>
      <c r="N178" s="30">
        <f>IF(Datos!J178&gt;=20,0.1,IF(Datos!J178&lt;5,-0.1,0))</f>
        <v>0.1</v>
      </c>
      <c r="O178" s="30">
        <f t="shared" si="3"/>
        <v>0.5</v>
      </c>
      <c r="P178" s="30">
        <f t="shared" si="4"/>
        <v>316.115</v>
      </c>
      <c r="Q178" s="30" t="str">
        <f>IF(P178&gt;='PANEL DE CONTROL'!$B$30,"A+",IF(P178&gt;='PANEL DE CONTROL'!$B$31,"A",IF(P178&gt;='PANEL DE CONTROL'!$B$32,"A-",IF(P178&gt;='PANEL DE CONTROL'!$B$33,"B+",IF(P178&gt;='PANEL DE CONTROL'!$B$34,"B",IF(P178&gt;='PANEL DE CONTROL'!$B$35,"B-",IF(P178&gt;='PANEL DE CONTROL'!$B$36,"C+",IF(P178&gt;='PANEL DE CONTROL'!$B$37,"C",IF(P178&gt;='PANEL DE CONTROL'!$B$38,"C-",IF(P178&gt;='PANEL DE CONTROL'!$B$39,"D+",IF(P178&gt;='PANEL DE CONTROL'!$B$40,"D","F")))))))))))</f>
        <v>F</v>
      </c>
      <c r="R178" s="30" t="str">
        <f>Datos!I178</f>
        <v>F</v>
      </c>
      <c r="S178" s="30">
        <f>P178-Datos!H178</f>
        <v>-18.225</v>
      </c>
      <c r="T178" s="30" t="str">
        <f t="shared" si="5"/>
        <v>Empeora</v>
      </c>
      <c r="U178" s="30" t="str">
        <f>Datos!O178</f>
        <v>nuevo</v>
      </c>
      <c r="V178" s="30" t="str">
        <f>Datos!Q178</f>
        <v>malo</v>
      </c>
    </row>
    <row r="179" ht="15.75" customHeight="1">
      <c r="A179" s="30">
        <f>Datos!A179</f>
        <v>50579500</v>
      </c>
      <c r="B179" s="30">
        <f>Datos!B179</f>
        <v>100</v>
      </c>
      <c r="C179" s="30">
        <f>Datos!C179</f>
        <v>0</v>
      </c>
      <c r="D179" s="30">
        <f>Datos!D179</f>
        <v>75</v>
      </c>
      <c r="E179" s="30">
        <f>(B179/600)*'PANEL DE CONTROL'!$C$7</f>
        <v>100</v>
      </c>
      <c r="F179" s="30">
        <f>(C179/150)*'PANEL DE CONTROL'!$C$8</f>
        <v>0</v>
      </c>
      <c r="G179" s="30">
        <f>(D179/250)*'PANEL DE CONTROL'!$C$9</f>
        <v>75</v>
      </c>
      <c r="H179" s="30">
        <f t="shared" si="1"/>
        <v>175</v>
      </c>
      <c r="I179" s="30">
        <f>IF(Datos!K179&gt;30,'PANEL DE CONTROL'!$D$14,0)+IF(Datos!M179&gt;80,'PANEL DE CONTROL'!$D$15,0)</f>
        <v>0</v>
      </c>
      <c r="J179" s="30">
        <f>IF(Datos!L179&lt;10,'PANEL DE CONTROL'!$D$16,0)+IF(Datos!N179&gt;24,'PANEL DE CONTROL'!$D$17,0)</f>
        <v>0</v>
      </c>
      <c r="K179" s="30">
        <f t="shared" si="2"/>
        <v>175</v>
      </c>
      <c r="L179" s="30">
        <f>Datos!G179</f>
        <v>588.48</v>
      </c>
      <c r="M179" s="30">
        <f>IF(Datos!O179="muy_nuevo",'PANEL DE CONTROL'!$C$22,IF(Datos!O179="nuevo",'PANEL DE CONTROL'!$C$23,IF(Datos!O179="intermedio",'PANEL DE CONTROL'!$C$24,IF(Datos!O179="establecido",'PANEL DE CONTROL'!$C$25,'PANEL DE CONTROL'!$C$26))))</f>
        <v>0.3</v>
      </c>
      <c r="N179" s="30">
        <f>IF(Datos!J179&gt;=20,0.1,IF(Datos!J179&lt;5,-0.1,0))</f>
        <v>0</v>
      </c>
      <c r="O179" s="30">
        <f t="shared" si="3"/>
        <v>0.3</v>
      </c>
      <c r="P179" s="30">
        <f t="shared" si="4"/>
        <v>464.436</v>
      </c>
      <c r="Q179" s="30" t="str">
        <f>IF(P179&gt;='PANEL DE CONTROL'!$B$30,"A+",IF(P179&gt;='PANEL DE CONTROL'!$B$31,"A",IF(P179&gt;='PANEL DE CONTROL'!$B$32,"A-",IF(P179&gt;='PANEL DE CONTROL'!$B$33,"B+",IF(P179&gt;='PANEL DE CONTROL'!$B$34,"B",IF(P179&gt;='PANEL DE CONTROL'!$B$35,"B-",IF(P179&gt;='PANEL DE CONTROL'!$B$36,"C+",IF(P179&gt;='PANEL DE CONTROL'!$B$37,"C",IF(P179&gt;='PANEL DE CONTROL'!$B$38,"C-",IF(P179&gt;='PANEL DE CONTROL'!$B$39,"D+",IF(P179&gt;='PANEL DE CONTROL'!$B$40,"D","F")))))))))))</f>
        <v>D+</v>
      </c>
      <c r="R179" s="30" t="str">
        <f>Datos!I179</f>
        <v>D</v>
      </c>
      <c r="S179" s="30">
        <f>P179-Datos!H179</f>
        <v>0.006</v>
      </c>
      <c r="T179" s="30" t="str">
        <f t="shared" si="5"/>
        <v>Igual</v>
      </c>
      <c r="U179" s="30" t="str">
        <f>Datos!O179</f>
        <v>muy_nuevo</v>
      </c>
      <c r="V179" s="30" t="str">
        <f>Datos!Q179</f>
        <v>malo</v>
      </c>
    </row>
    <row r="180" ht="15.75" customHeight="1">
      <c r="A180" s="30">
        <f>Datos!A180</f>
        <v>47520425</v>
      </c>
      <c r="B180" s="30">
        <f>Datos!B180</f>
        <v>200</v>
      </c>
      <c r="C180" s="30">
        <f>Datos!C180</f>
        <v>0</v>
      </c>
      <c r="D180" s="30">
        <f>Datos!D180</f>
        <v>75</v>
      </c>
      <c r="E180" s="30">
        <f>(B180/600)*'PANEL DE CONTROL'!$C$7</f>
        <v>200</v>
      </c>
      <c r="F180" s="30">
        <f>(C180/150)*'PANEL DE CONTROL'!$C$8</f>
        <v>0</v>
      </c>
      <c r="G180" s="30">
        <f>(D180/250)*'PANEL DE CONTROL'!$C$9</f>
        <v>75</v>
      </c>
      <c r="H180" s="30">
        <f t="shared" si="1"/>
        <v>275</v>
      </c>
      <c r="I180" s="30">
        <f>IF(Datos!K180&gt;30,'PANEL DE CONTROL'!$D$14,0)+IF(Datos!M180&gt;80,'PANEL DE CONTROL'!$D$15,0)</f>
        <v>0</v>
      </c>
      <c r="J180" s="30">
        <f>IF(Datos!L180&lt;10,'PANEL DE CONTROL'!$D$16,0)+IF(Datos!N180&gt;24,'PANEL DE CONTROL'!$D$17,0)</f>
        <v>0</v>
      </c>
      <c r="K180" s="30">
        <f t="shared" si="2"/>
        <v>275</v>
      </c>
      <c r="L180" s="30">
        <f>Datos!G180</f>
        <v>507.95</v>
      </c>
      <c r="M180" s="30">
        <f>IF(Datos!O180="muy_nuevo",'PANEL DE CONTROL'!$C$22,IF(Datos!O180="nuevo",'PANEL DE CONTROL'!$C$23,IF(Datos!O180="intermedio",'PANEL DE CONTROL'!$C$24,IF(Datos!O180="establecido",'PANEL DE CONTROL'!$C$25,'PANEL DE CONTROL'!$C$26))))</f>
        <v>0.3</v>
      </c>
      <c r="N180" s="30">
        <f>IF(Datos!J180&gt;=20,0.1,IF(Datos!J180&lt;5,-0.1,0))</f>
        <v>0.1</v>
      </c>
      <c r="O180" s="30">
        <f t="shared" si="3"/>
        <v>0.4</v>
      </c>
      <c r="P180" s="30">
        <f t="shared" si="4"/>
        <v>414.77</v>
      </c>
      <c r="Q180" s="30" t="str">
        <f>IF(P180&gt;='PANEL DE CONTROL'!$B$30,"A+",IF(P180&gt;='PANEL DE CONTROL'!$B$31,"A",IF(P180&gt;='PANEL DE CONTROL'!$B$32,"A-",IF(P180&gt;='PANEL DE CONTROL'!$B$33,"B+",IF(P180&gt;='PANEL DE CONTROL'!$B$34,"B",IF(P180&gt;='PANEL DE CONTROL'!$B$35,"B-",IF(P180&gt;='PANEL DE CONTROL'!$B$36,"C+",IF(P180&gt;='PANEL DE CONTROL'!$B$37,"C",IF(P180&gt;='PANEL DE CONTROL'!$B$38,"C-",IF(P180&gt;='PANEL DE CONTROL'!$B$39,"D+",IF(P180&gt;='PANEL DE CONTROL'!$B$40,"D","F")))))))))))</f>
        <v>D</v>
      </c>
      <c r="R180" s="30" t="str">
        <f>Datos!I180</f>
        <v>D</v>
      </c>
      <c r="S180" s="30">
        <f>P180-Datos!H180</f>
        <v>-23.29</v>
      </c>
      <c r="T180" s="30" t="str">
        <f t="shared" si="5"/>
        <v>Empeora</v>
      </c>
      <c r="U180" s="30" t="str">
        <f>Datos!O180</f>
        <v>muy_nuevo</v>
      </c>
      <c r="V180" s="30" t="str">
        <f>Datos!Q180</f>
        <v>malo</v>
      </c>
    </row>
    <row r="181" ht="15.75" customHeight="1">
      <c r="A181" s="30">
        <f>Datos!A181</f>
        <v>54350128</v>
      </c>
      <c r="B181" s="30">
        <f>Datos!B181</f>
        <v>200</v>
      </c>
      <c r="C181" s="30">
        <f>Datos!C181</f>
        <v>50</v>
      </c>
      <c r="D181" s="30">
        <f>Datos!D181</f>
        <v>75</v>
      </c>
      <c r="E181" s="30">
        <f>(B181/600)*'PANEL DE CONTROL'!$C$7</f>
        <v>200</v>
      </c>
      <c r="F181" s="30">
        <f>(C181/150)*'PANEL DE CONTROL'!$C$8</f>
        <v>50</v>
      </c>
      <c r="G181" s="30">
        <f>(D181/250)*'PANEL DE CONTROL'!$C$9</f>
        <v>75</v>
      </c>
      <c r="H181" s="30">
        <f t="shared" si="1"/>
        <v>325</v>
      </c>
      <c r="I181" s="30">
        <f>IF(Datos!K181&gt;30,'PANEL DE CONTROL'!$D$14,0)+IF(Datos!M181&gt;80,'PANEL DE CONTROL'!$D$15,0)</f>
        <v>0</v>
      </c>
      <c r="J181" s="30">
        <f>IF(Datos!L181&lt;10,'PANEL DE CONTROL'!$D$16,0)+IF(Datos!N181&gt;24,'PANEL DE CONTROL'!$D$17,0)</f>
        <v>0</v>
      </c>
      <c r="K181" s="30">
        <f t="shared" si="2"/>
        <v>325</v>
      </c>
      <c r="L181" s="30">
        <f>Datos!G181</f>
        <v>404.58</v>
      </c>
      <c r="M181" s="30">
        <f>IF(Datos!O181="muy_nuevo",'PANEL DE CONTROL'!$C$22,IF(Datos!O181="nuevo",'PANEL DE CONTROL'!$C$23,IF(Datos!O181="intermedio",'PANEL DE CONTROL'!$C$24,IF(Datos!O181="establecido",'PANEL DE CONTROL'!$C$25,'PANEL DE CONTROL'!$C$26))))</f>
        <v>0.4</v>
      </c>
      <c r="N181" s="30">
        <f>IF(Datos!J181&gt;=20,0.1,IF(Datos!J181&lt;5,-0.1,0))</f>
        <v>0.1</v>
      </c>
      <c r="O181" s="30">
        <f t="shared" si="3"/>
        <v>0.5</v>
      </c>
      <c r="P181" s="30">
        <f t="shared" si="4"/>
        <v>364.79</v>
      </c>
      <c r="Q181" s="30" t="str">
        <f>IF(P181&gt;='PANEL DE CONTROL'!$B$30,"A+",IF(P181&gt;='PANEL DE CONTROL'!$B$31,"A",IF(P181&gt;='PANEL DE CONTROL'!$B$32,"A-",IF(P181&gt;='PANEL DE CONTROL'!$B$33,"B+",IF(P181&gt;='PANEL DE CONTROL'!$B$34,"B",IF(P181&gt;='PANEL DE CONTROL'!$B$35,"B-",IF(P181&gt;='PANEL DE CONTROL'!$B$36,"C+",IF(P181&gt;='PANEL DE CONTROL'!$B$37,"C",IF(P181&gt;='PANEL DE CONTROL'!$B$38,"C-",IF(P181&gt;='PANEL DE CONTROL'!$B$39,"D+",IF(P181&gt;='PANEL DE CONTROL'!$B$40,"D","F")))))))))))</f>
        <v>F</v>
      </c>
      <c r="R181" s="30" t="str">
        <f>Datos!I181</f>
        <v>F</v>
      </c>
      <c r="S181" s="30">
        <f>P181-Datos!H181</f>
        <v>-7.96</v>
      </c>
      <c r="T181" s="30" t="str">
        <f t="shared" si="5"/>
        <v>Empeora</v>
      </c>
      <c r="U181" s="30" t="str">
        <f>Datos!O181</f>
        <v>nuevo</v>
      </c>
      <c r="V181" s="30" t="str">
        <f>Datos!Q181</f>
        <v>malo</v>
      </c>
    </row>
    <row r="182" ht="15.75" customHeight="1">
      <c r="A182" s="30">
        <f>Datos!A182</f>
        <v>46030101</v>
      </c>
      <c r="B182" s="30">
        <f>Datos!B182</f>
        <v>530</v>
      </c>
      <c r="C182" s="30">
        <f>Datos!C182</f>
        <v>150</v>
      </c>
      <c r="D182" s="30">
        <f>Datos!D182</f>
        <v>200</v>
      </c>
      <c r="E182" s="30">
        <f>(B182/600)*'PANEL DE CONTROL'!$C$7</f>
        <v>530</v>
      </c>
      <c r="F182" s="30">
        <f>(C182/150)*'PANEL DE CONTROL'!$C$8</f>
        <v>150</v>
      </c>
      <c r="G182" s="30">
        <f>(D182/250)*'PANEL DE CONTROL'!$C$9</f>
        <v>200</v>
      </c>
      <c r="H182" s="30">
        <f t="shared" si="1"/>
        <v>880</v>
      </c>
      <c r="I182" s="30">
        <f>IF(Datos!K182&gt;30,'PANEL DE CONTROL'!$D$14,0)+IF(Datos!M182&gt;80,'PANEL DE CONTROL'!$D$15,0)</f>
        <v>0</v>
      </c>
      <c r="J182" s="30">
        <f>IF(Datos!L182&lt;10,'PANEL DE CONTROL'!$D$16,0)+IF(Datos!N182&gt;24,'PANEL DE CONTROL'!$D$17,0)</f>
        <v>0</v>
      </c>
      <c r="K182" s="30">
        <f t="shared" si="2"/>
        <v>880</v>
      </c>
      <c r="L182" s="30">
        <f>Datos!G182</f>
        <v>488.41</v>
      </c>
      <c r="M182" s="30">
        <f>IF(Datos!O182="muy_nuevo",'PANEL DE CONTROL'!$C$22,IF(Datos!O182="nuevo",'PANEL DE CONTROL'!$C$23,IF(Datos!O182="intermedio",'PANEL DE CONTROL'!$C$24,IF(Datos!O182="establecido",'PANEL DE CONTROL'!$C$25,'PANEL DE CONTROL'!$C$26))))</f>
        <v>0.5</v>
      </c>
      <c r="N182" s="30">
        <f>IF(Datos!J182&gt;=20,0.1,IF(Datos!J182&lt;5,-0.1,0))</f>
        <v>0</v>
      </c>
      <c r="O182" s="30">
        <f t="shared" si="3"/>
        <v>0.5</v>
      </c>
      <c r="P182" s="30">
        <f t="shared" si="4"/>
        <v>684.205</v>
      </c>
      <c r="Q182" s="30" t="str">
        <f>IF(P182&gt;='PANEL DE CONTROL'!$B$30,"A+",IF(P182&gt;='PANEL DE CONTROL'!$B$31,"A",IF(P182&gt;='PANEL DE CONTROL'!$B$32,"A-",IF(P182&gt;='PANEL DE CONTROL'!$B$33,"B+",IF(P182&gt;='PANEL DE CONTROL'!$B$34,"B",IF(P182&gt;='PANEL DE CONTROL'!$B$35,"B-",IF(P182&gt;='PANEL DE CONTROL'!$B$36,"C+",IF(P182&gt;='PANEL DE CONTROL'!$B$37,"C",IF(P182&gt;='PANEL DE CONTROL'!$B$38,"C-",IF(P182&gt;='PANEL DE CONTROL'!$B$39,"D+",IF(P182&gt;='PANEL DE CONTROL'!$B$40,"D","F")))))))))))</f>
        <v>B-</v>
      </c>
      <c r="R182" s="30" t="str">
        <f>Datos!I182</f>
        <v>B-</v>
      </c>
      <c r="S182" s="30">
        <f>P182-Datos!H182</f>
        <v>-0.005</v>
      </c>
      <c r="T182" s="30" t="str">
        <f t="shared" si="5"/>
        <v>Igual</v>
      </c>
      <c r="U182" s="30" t="str">
        <f>Datos!O182</f>
        <v>intermedio</v>
      </c>
      <c r="V182" s="30" t="str">
        <f>Datos!Q182</f>
        <v>outlier</v>
      </c>
    </row>
    <row r="183" ht="15.75" customHeight="1">
      <c r="A183" s="30">
        <f>Datos!A183</f>
        <v>42809437</v>
      </c>
      <c r="B183" s="30">
        <f>Datos!B183</f>
        <v>150</v>
      </c>
      <c r="C183" s="30">
        <f>Datos!C183</f>
        <v>50</v>
      </c>
      <c r="D183" s="30">
        <f>Datos!D183</f>
        <v>50</v>
      </c>
      <c r="E183" s="30">
        <f>(B183/600)*'PANEL DE CONTROL'!$C$7</f>
        <v>150</v>
      </c>
      <c r="F183" s="30">
        <f>(C183/150)*'PANEL DE CONTROL'!$C$8</f>
        <v>50</v>
      </c>
      <c r="G183" s="30">
        <f>(D183/250)*'PANEL DE CONTROL'!$C$9</f>
        <v>50</v>
      </c>
      <c r="H183" s="30">
        <f t="shared" si="1"/>
        <v>250</v>
      </c>
      <c r="I183" s="30">
        <f>IF(Datos!K183&gt;30,'PANEL DE CONTROL'!$D$14,0)+IF(Datos!M183&gt;80,'PANEL DE CONTROL'!$D$15,0)</f>
        <v>0</v>
      </c>
      <c r="J183" s="30">
        <f>IF(Datos!L183&lt;10,'PANEL DE CONTROL'!$D$16,0)+IF(Datos!N183&gt;24,'PANEL DE CONTROL'!$D$17,0)</f>
        <v>0</v>
      </c>
      <c r="K183" s="30">
        <f t="shared" si="2"/>
        <v>250</v>
      </c>
      <c r="L183" s="30">
        <f>Datos!G183</f>
        <v>836.75</v>
      </c>
      <c r="M183" s="30">
        <f>IF(Datos!O183="muy_nuevo",'PANEL DE CONTROL'!$C$22,IF(Datos!O183="nuevo",'PANEL DE CONTROL'!$C$23,IF(Datos!O183="intermedio",'PANEL DE CONTROL'!$C$24,IF(Datos!O183="establecido",'PANEL DE CONTROL'!$C$25,'PANEL DE CONTROL'!$C$26))))</f>
        <v>0.3</v>
      </c>
      <c r="N183" s="30">
        <f>IF(Datos!J183&gt;=20,0.1,IF(Datos!J183&lt;5,-0.1,0))</f>
        <v>0</v>
      </c>
      <c r="O183" s="30">
        <f t="shared" si="3"/>
        <v>0.3</v>
      </c>
      <c r="P183" s="30">
        <f t="shared" si="4"/>
        <v>660.725</v>
      </c>
      <c r="Q183" s="30" t="str">
        <f>IF(P183&gt;='PANEL DE CONTROL'!$B$30,"A+",IF(P183&gt;='PANEL DE CONTROL'!$B$31,"A",IF(P183&gt;='PANEL DE CONTROL'!$B$32,"A-",IF(P183&gt;='PANEL DE CONTROL'!$B$33,"B+",IF(P183&gt;='PANEL DE CONTROL'!$B$34,"B",IF(P183&gt;='PANEL DE CONTROL'!$B$35,"B-",IF(P183&gt;='PANEL DE CONTROL'!$B$36,"C+",IF(P183&gt;='PANEL DE CONTROL'!$B$37,"C",IF(P183&gt;='PANEL DE CONTROL'!$B$38,"C-",IF(P183&gt;='PANEL DE CONTROL'!$B$39,"D+",IF(P183&gt;='PANEL DE CONTROL'!$B$40,"D","F")))))))))))</f>
        <v>B-</v>
      </c>
      <c r="R183" s="30" t="str">
        <f>Datos!I183</f>
        <v>B-</v>
      </c>
      <c r="S183" s="30">
        <f>P183-Datos!H183</f>
        <v>-0.005</v>
      </c>
      <c r="T183" s="30" t="str">
        <f t="shared" si="5"/>
        <v>Igual</v>
      </c>
      <c r="U183" s="30" t="str">
        <f>Datos!O183</f>
        <v>muy_nuevo</v>
      </c>
      <c r="V183" s="30" t="str">
        <f>Datos!Q183</f>
        <v>outlier</v>
      </c>
    </row>
    <row r="184" ht="15.75" customHeight="1">
      <c r="A184" s="30">
        <f>Datos!A184</f>
        <v>95899077</v>
      </c>
      <c r="B184" s="30">
        <f>Datos!B184</f>
        <v>530</v>
      </c>
      <c r="C184" s="30">
        <f>Datos!C184</f>
        <v>100</v>
      </c>
      <c r="D184" s="30">
        <f>Datos!D184</f>
        <v>175</v>
      </c>
      <c r="E184" s="30">
        <f>(B184/600)*'PANEL DE CONTROL'!$C$7</f>
        <v>530</v>
      </c>
      <c r="F184" s="30">
        <f>(C184/150)*'PANEL DE CONTROL'!$C$8</f>
        <v>100</v>
      </c>
      <c r="G184" s="30">
        <f>(D184/250)*'PANEL DE CONTROL'!$C$9</f>
        <v>175</v>
      </c>
      <c r="H184" s="30">
        <f t="shared" si="1"/>
        <v>805</v>
      </c>
      <c r="I184" s="30">
        <f>IF(Datos!K184&gt;30,'PANEL DE CONTROL'!$D$14,0)+IF(Datos!M184&gt;80,'PANEL DE CONTROL'!$D$15,0)</f>
        <v>0</v>
      </c>
      <c r="J184" s="30">
        <f>IF(Datos!L184&lt;10,'PANEL DE CONTROL'!$D$16,0)+IF(Datos!N184&gt;24,'PANEL DE CONTROL'!$D$17,0)</f>
        <v>0</v>
      </c>
      <c r="K184" s="30">
        <f t="shared" si="2"/>
        <v>805</v>
      </c>
      <c r="L184" s="30">
        <f>Datos!G184</f>
        <v>490.47</v>
      </c>
      <c r="M184" s="30">
        <f>IF(Datos!O184="muy_nuevo",'PANEL DE CONTROL'!$C$22,IF(Datos!O184="nuevo",'PANEL DE CONTROL'!$C$23,IF(Datos!O184="intermedio",'PANEL DE CONTROL'!$C$24,IF(Datos!O184="establecido",'PANEL DE CONTROL'!$C$25,'PANEL DE CONTROL'!$C$26))))</f>
        <v>0.5</v>
      </c>
      <c r="N184" s="30">
        <f>IF(Datos!J184&gt;=20,0.1,IF(Datos!J184&lt;5,-0.1,0))</f>
        <v>0.1</v>
      </c>
      <c r="O184" s="30">
        <f t="shared" si="3"/>
        <v>0.6</v>
      </c>
      <c r="P184" s="30">
        <f t="shared" si="4"/>
        <v>679.188</v>
      </c>
      <c r="Q184" s="30" t="str">
        <f>IF(P184&gt;='PANEL DE CONTROL'!$B$30,"A+",IF(P184&gt;='PANEL DE CONTROL'!$B$31,"A",IF(P184&gt;='PANEL DE CONTROL'!$B$32,"A-",IF(P184&gt;='PANEL DE CONTROL'!$B$33,"B+",IF(P184&gt;='PANEL DE CONTROL'!$B$34,"B",IF(P184&gt;='PANEL DE CONTROL'!$B$35,"B-",IF(P184&gt;='PANEL DE CONTROL'!$B$36,"C+",IF(P184&gt;='PANEL DE CONTROL'!$B$37,"C",IF(P184&gt;='PANEL DE CONTROL'!$B$38,"C-",IF(P184&gt;='PANEL DE CONTROL'!$B$39,"D+",IF(P184&gt;='PANEL DE CONTROL'!$B$40,"D","F")))))))))))</f>
        <v>B-</v>
      </c>
      <c r="R184" s="30" t="str">
        <f>Datos!I184</f>
        <v>C+</v>
      </c>
      <c r="S184" s="30">
        <f>P184-Datos!H184</f>
        <v>31.458</v>
      </c>
      <c r="T184" s="30" t="str">
        <f t="shared" si="5"/>
        <v>Mejora</v>
      </c>
      <c r="U184" s="30" t="str">
        <f>Datos!O184</f>
        <v>intermedio</v>
      </c>
      <c r="V184" s="30" t="str">
        <f>Datos!Q184</f>
        <v>outlier</v>
      </c>
    </row>
    <row r="185" ht="15.75" customHeight="1">
      <c r="A185" s="30">
        <f>Datos!A185</f>
        <v>69492474</v>
      </c>
      <c r="B185" s="30">
        <f>Datos!B185</f>
        <v>450</v>
      </c>
      <c r="C185" s="30">
        <f>Datos!C185</f>
        <v>150</v>
      </c>
      <c r="D185" s="30">
        <f>Datos!D185</f>
        <v>200</v>
      </c>
      <c r="E185" s="30">
        <f>(B185/600)*'PANEL DE CONTROL'!$C$7</f>
        <v>450</v>
      </c>
      <c r="F185" s="30">
        <f>(C185/150)*'PANEL DE CONTROL'!$C$8</f>
        <v>150</v>
      </c>
      <c r="G185" s="30">
        <f>(D185/250)*'PANEL DE CONTROL'!$C$9</f>
        <v>200</v>
      </c>
      <c r="H185" s="30">
        <f t="shared" si="1"/>
        <v>800</v>
      </c>
      <c r="I185" s="30">
        <f>IF(Datos!K185&gt;30,'PANEL DE CONTROL'!$D$14,0)+IF(Datos!M185&gt;80,'PANEL DE CONTROL'!$D$15,0)</f>
        <v>0</v>
      </c>
      <c r="J185" s="30">
        <f>IF(Datos!L185&lt;10,'PANEL DE CONTROL'!$D$16,0)+IF(Datos!N185&gt;24,'PANEL DE CONTROL'!$D$17,0)</f>
        <v>0</v>
      </c>
      <c r="K185" s="30">
        <f t="shared" si="2"/>
        <v>800</v>
      </c>
      <c r="L185" s="30">
        <f>Datos!G185</f>
        <v>407.97</v>
      </c>
      <c r="M185" s="30">
        <f>IF(Datos!O185="muy_nuevo",'PANEL DE CONTROL'!$C$22,IF(Datos!O185="nuevo",'PANEL DE CONTROL'!$C$23,IF(Datos!O185="intermedio",'PANEL DE CONTROL'!$C$24,IF(Datos!O185="establecido",'PANEL DE CONTROL'!$C$25,'PANEL DE CONTROL'!$C$26))))</f>
        <v>0.6</v>
      </c>
      <c r="N185" s="30">
        <f>IF(Datos!J185&gt;=20,0.1,IF(Datos!J185&lt;5,-0.1,0))</f>
        <v>0.1</v>
      </c>
      <c r="O185" s="30">
        <f t="shared" si="3"/>
        <v>0.7</v>
      </c>
      <c r="P185" s="30">
        <f t="shared" si="4"/>
        <v>682.391</v>
      </c>
      <c r="Q185" s="30" t="str">
        <f>IF(P185&gt;='PANEL DE CONTROL'!$B$30,"A+",IF(P185&gt;='PANEL DE CONTROL'!$B$31,"A",IF(P185&gt;='PANEL DE CONTROL'!$B$32,"A-",IF(P185&gt;='PANEL DE CONTROL'!$B$33,"B+",IF(P185&gt;='PANEL DE CONTROL'!$B$34,"B",IF(P185&gt;='PANEL DE CONTROL'!$B$35,"B-",IF(P185&gt;='PANEL DE CONTROL'!$B$36,"C+",IF(P185&gt;='PANEL DE CONTROL'!$B$37,"C",IF(P185&gt;='PANEL DE CONTROL'!$B$38,"C-",IF(P185&gt;='PANEL DE CONTROL'!$B$39,"D+",IF(P185&gt;='PANEL DE CONTROL'!$B$40,"D","F")))))))))))</f>
        <v>B-</v>
      </c>
      <c r="R185" s="30" t="str">
        <f>Datos!I185</f>
        <v>C+</v>
      </c>
      <c r="S185" s="30">
        <f>P185-Datos!H185</f>
        <v>39.201</v>
      </c>
      <c r="T185" s="30" t="str">
        <f t="shared" si="5"/>
        <v>Mejora</v>
      </c>
      <c r="U185" s="30" t="str">
        <f>Datos!O185</f>
        <v>establecido</v>
      </c>
      <c r="V185" s="30" t="str">
        <f>Datos!Q185</f>
        <v>outlier</v>
      </c>
    </row>
    <row r="186" ht="15.75" customHeight="1">
      <c r="A186" s="30">
        <f>Datos!A186</f>
        <v>48855512</v>
      </c>
      <c r="B186" s="30">
        <f>Datos!B186</f>
        <v>450</v>
      </c>
      <c r="C186" s="30">
        <f>Datos!C186</f>
        <v>150</v>
      </c>
      <c r="D186" s="30">
        <f>Datos!D186</f>
        <v>200</v>
      </c>
      <c r="E186" s="30">
        <f>(B186/600)*'PANEL DE CONTROL'!$C$7</f>
        <v>450</v>
      </c>
      <c r="F186" s="30">
        <f>(C186/150)*'PANEL DE CONTROL'!$C$8</f>
        <v>150</v>
      </c>
      <c r="G186" s="30">
        <f>(D186/250)*'PANEL DE CONTROL'!$C$9</f>
        <v>200</v>
      </c>
      <c r="H186" s="30">
        <f t="shared" si="1"/>
        <v>800</v>
      </c>
      <c r="I186" s="30">
        <f>IF(Datos!K186&gt;30,'PANEL DE CONTROL'!$D$14,0)+IF(Datos!M186&gt;80,'PANEL DE CONTROL'!$D$15,0)</f>
        <v>0</v>
      </c>
      <c r="J186" s="30">
        <f>IF(Datos!L186&lt;10,'PANEL DE CONTROL'!$D$16,0)+IF(Datos!N186&gt;24,'PANEL DE CONTROL'!$D$17,0)</f>
        <v>0</v>
      </c>
      <c r="K186" s="30">
        <f t="shared" si="2"/>
        <v>800</v>
      </c>
      <c r="L186" s="30">
        <f>Datos!G186</f>
        <v>414.55</v>
      </c>
      <c r="M186" s="30">
        <f>IF(Datos!O186="muy_nuevo",'PANEL DE CONTROL'!$C$22,IF(Datos!O186="nuevo",'PANEL DE CONTROL'!$C$23,IF(Datos!O186="intermedio",'PANEL DE CONTROL'!$C$24,IF(Datos!O186="establecido",'PANEL DE CONTROL'!$C$25,'PANEL DE CONTROL'!$C$26))))</f>
        <v>0.6</v>
      </c>
      <c r="N186" s="30">
        <f>IF(Datos!J186&gt;=20,0.1,IF(Datos!J186&lt;5,-0.1,0))</f>
        <v>0.1</v>
      </c>
      <c r="O186" s="30">
        <f t="shared" si="3"/>
        <v>0.7</v>
      </c>
      <c r="P186" s="30">
        <f t="shared" si="4"/>
        <v>684.365</v>
      </c>
      <c r="Q186" s="30" t="str">
        <f>IF(P186&gt;='PANEL DE CONTROL'!$B$30,"A+",IF(P186&gt;='PANEL DE CONTROL'!$B$31,"A",IF(P186&gt;='PANEL DE CONTROL'!$B$32,"A-",IF(P186&gt;='PANEL DE CONTROL'!$B$33,"B+",IF(P186&gt;='PANEL DE CONTROL'!$B$34,"B",IF(P186&gt;='PANEL DE CONTROL'!$B$35,"B-",IF(P186&gt;='PANEL DE CONTROL'!$B$36,"C+",IF(P186&gt;='PANEL DE CONTROL'!$B$37,"C",IF(P186&gt;='PANEL DE CONTROL'!$B$38,"C-",IF(P186&gt;='PANEL DE CONTROL'!$B$39,"D+",IF(P186&gt;='PANEL DE CONTROL'!$B$40,"D","F")))))))))))</f>
        <v>B-</v>
      </c>
      <c r="R186" s="30" t="str">
        <f>Datos!I186</f>
        <v>C+</v>
      </c>
      <c r="S186" s="30">
        <f>P186-Datos!H186</f>
        <v>38.545</v>
      </c>
      <c r="T186" s="30" t="str">
        <f t="shared" si="5"/>
        <v>Mejora</v>
      </c>
      <c r="U186" s="30" t="str">
        <f>Datos!O186</f>
        <v>establecido</v>
      </c>
      <c r="V186" s="30" t="str">
        <f>Datos!Q186</f>
        <v>outlier</v>
      </c>
    </row>
    <row r="187" ht="15.75" customHeight="1">
      <c r="A187" s="30">
        <f>Datos!A187</f>
        <v>43678828</v>
      </c>
      <c r="B187" s="30">
        <f>Datos!B187</f>
        <v>530</v>
      </c>
      <c r="C187" s="30">
        <f>Datos!C187</f>
        <v>150</v>
      </c>
      <c r="D187" s="30">
        <f>Datos!D187</f>
        <v>200</v>
      </c>
      <c r="E187" s="30">
        <f>(B187/600)*'PANEL DE CONTROL'!$C$7</f>
        <v>530</v>
      </c>
      <c r="F187" s="30">
        <f>(C187/150)*'PANEL DE CONTROL'!$C$8</f>
        <v>150</v>
      </c>
      <c r="G187" s="30">
        <f>(D187/250)*'PANEL DE CONTROL'!$C$9</f>
        <v>200</v>
      </c>
      <c r="H187" s="30">
        <f t="shared" si="1"/>
        <v>880</v>
      </c>
      <c r="I187" s="30">
        <f>IF(Datos!K187&gt;30,'PANEL DE CONTROL'!$D$14,0)+IF(Datos!M187&gt;80,'PANEL DE CONTROL'!$D$15,0)</f>
        <v>0</v>
      </c>
      <c r="J187" s="30">
        <f>IF(Datos!L187&lt;10,'PANEL DE CONTROL'!$D$16,0)+IF(Datos!N187&gt;24,'PANEL DE CONTROL'!$D$17,0)</f>
        <v>0</v>
      </c>
      <c r="K187" s="30">
        <f t="shared" si="2"/>
        <v>880</v>
      </c>
      <c r="L187" s="30">
        <f>Datos!G187</f>
        <v>384.33</v>
      </c>
      <c r="M187" s="30">
        <f>IF(Datos!O187="muy_nuevo",'PANEL DE CONTROL'!$C$22,IF(Datos!O187="nuevo",'PANEL DE CONTROL'!$C$23,IF(Datos!O187="intermedio",'PANEL DE CONTROL'!$C$24,IF(Datos!O187="establecido",'PANEL DE CONTROL'!$C$25,'PANEL DE CONTROL'!$C$26))))</f>
        <v>0.6</v>
      </c>
      <c r="N187" s="30">
        <f>IF(Datos!J187&gt;=20,0.1,IF(Datos!J187&lt;5,-0.1,0))</f>
        <v>0.1</v>
      </c>
      <c r="O187" s="30">
        <f t="shared" si="3"/>
        <v>0.7</v>
      </c>
      <c r="P187" s="30">
        <f t="shared" si="4"/>
        <v>731.299</v>
      </c>
      <c r="Q187" s="30" t="str">
        <f>IF(P187&gt;='PANEL DE CONTROL'!$B$30,"A+",IF(P187&gt;='PANEL DE CONTROL'!$B$31,"A",IF(P187&gt;='PANEL DE CONTROL'!$B$32,"A-",IF(P187&gt;='PANEL DE CONTROL'!$B$33,"B+",IF(P187&gt;='PANEL DE CONTROL'!$B$34,"B",IF(P187&gt;='PANEL DE CONTROL'!$B$35,"B-",IF(P187&gt;='PANEL DE CONTROL'!$B$36,"C+",IF(P187&gt;='PANEL DE CONTROL'!$B$37,"C",IF(P187&gt;='PANEL DE CONTROL'!$B$38,"C-",IF(P187&gt;='PANEL DE CONTROL'!$B$39,"D+",IF(P187&gt;='PANEL DE CONTROL'!$B$40,"D","F")))))))))))</f>
        <v>B</v>
      </c>
      <c r="R187" s="30" t="str">
        <f>Datos!I187</f>
        <v>B-</v>
      </c>
      <c r="S187" s="30">
        <f>P187-Datos!H187</f>
        <v>49.569</v>
      </c>
      <c r="T187" s="30" t="str">
        <f t="shared" si="5"/>
        <v>Mejora</v>
      </c>
      <c r="U187" s="30" t="str">
        <f>Datos!O187</f>
        <v>establecido</v>
      </c>
      <c r="V187" s="30" t="str">
        <f>Datos!Q187</f>
        <v>outlier</v>
      </c>
    </row>
    <row r="188" ht="15.75" customHeight="1">
      <c r="A188" s="30">
        <f>Datos!A188</f>
        <v>56070158</v>
      </c>
      <c r="B188" s="30">
        <f>Datos!B188</f>
        <v>450</v>
      </c>
      <c r="C188" s="30">
        <f>Datos!C188</f>
        <v>150</v>
      </c>
      <c r="D188" s="30">
        <f>Datos!D188</f>
        <v>200</v>
      </c>
      <c r="E188" s="30">
        <f>(B188/600)*'PANEL DE CONTROL'!$C$7</f>
        <v>450</v>
      </c>
      <c r="F188" s="30">
        <f>(C188/150)*'PANEL DE CONTROL'!$C$8</f>
        <v>150</v>
      </c>
      <c r="G188" s="30">
        <f>(D188/250)*'PANEL DE CONTROL'!$C$9</f>
        <v>200</v>
      </c>
      <c r="H188" s="30">
        <f t="shared" si="1"/>
        <v>800</v>
      </c>
      <c r="I188" s="30">
        <f>IF(Datos!K188&gt;30,'PANEL DE CONTROL'!$D$14,0)+IF(Datos!M188&gt;80,'PANEL DE CONTROL'!$D$15,0)</f>
        <v>0</v>
      </c>
      <c r="J188" s="30">
        <f>IF(Datos!L188&lt;10,'PANEL DE CONTROL'!$D$16,0)+IF(Datos!N188&gt;24,'PANEL DE CONTROL'!$D$17,0)</f>
        <v>0</v>
      </c>
      <c r="K188" s="30">
        <f t="shared" si="2"/>
        <v>800</v>
      </c>
      <c r="L188" s="30">
        <f>Datos!G188</f>
        <v>417.47</v>
      </c>
      <c r="M188" s="30">
        <f>IF(Datos!O188="muy_nuevo",'PANEL DE CONTROL'!$C$22,IF(Datos!O188="nuevo",'PANEL DE CONTROL'!$C$23,IF(Datos!O188="intermedio",'PANEL DE CONTROL'!$C$24,IF(Datos!O188="establecido",'PANEL DE CONTROL'!$C$25,'PANEL DE CONTROL'!$C$26))))</f>
        <v>0.6</v>
      </c>
      <c r="N188" s="30">
        <f>IF(Datos!J188&gt;=20,0.1,IF(Datos!J188&lt;5,-0.1,0))</f>
        <v>0.1</v>
      </c>
      <c r="O188" s="30">
        <f t="shared" si="3"/>
        <v>0.7</v>
      </c>
      <c r="P188" s="30">
        <f t="shared" si="4"/>
        <v>685.241</v>
      </c>
      <c r="Q188" s="30" t="str">
        <f>IF(P188&gt;='PANEL DE CONTROL'!$B$30,"A+",IF(P188&gt;='PANEL DE CONTROL'!$B$31,"A",IF(P188&gt;='PANEL DE CONTROL'!$B$32,"A-",IF(P188&gt;='PANEL DE CONTROL'!$B$33,"B+",IF(P188&gt;='PANEL DE CONTROL'!$B$34,"B",IF(P188&gt;='PANEL DE CONTROL'!$B$35,"B-",IF(P188&gt;='PANEL DE CONTROL'!$B$36,"C+",IF(P188&gt;='PANEL DE CONTROL'!$B$37,"C",IF(P188&gt;='PANEL DE CONTROL'!$B$38,"C-",IF(P188&gt;='PANEL DE CONTROL'!$B$39,"D+",IF(P188&gt;='PANEL DE CONTROL'!$B$40,"D","F")))))))))))</f>
        <v>B-</v>
      </c>
      <c r="R188" s="30" t="str">
        <f>Datos!I188</f>
        <v>C+</v>
      </c>
      <c r="S188" s="30">
        <f>P188-Datos!H188</f>
        <v>38.251</v>
      </c>
      <c r="T188" s="30" t="str">
        <f t="shared" si="5"/>
        <v>Mejora</v>
      </c>
      <c r="U188" s="30" t="str">
        <f>Datos!O188</f>
        <v>establecido</v>
      </c>
      <c r="V188" s="30" t="str">
        <f>Datos!Q188</f>
        <v>outlier</v>
      </c>
    </row>
    <row r="189" ht="15.75" customHeight="1">
      <c r="A189" s="30">
        <f>Datos!A189</f>
        <v>94093312</v>
      </c>
      <c r="B189" s="30">
        <f>Datos!B189</f>
        <v>530</v>
      </c>
      <c r="C189" s="30">
        <f>Datos!C189</f>
        <v>150</v>
      </c>
      <c r="D189" s="30">
        <f>Datos!D189</f>
        <v>200</v>
      </c>
      <c r="E189" s="30">
        <f>(B189/600)*'PANEL DE CONTROL'!$C$7</f>
        <v>530</v>
      </c>
      <c r="F189" s="30">
        <f>(C189/150)*'PANEL DE CONTROL'!$C$8</f>
        <v>150</v>
      </c>
      <c r="G189" s="30">
        <f>(D189/250)*'PANEL DE CONTROL'!$C$9</f>
        <v>200</v>
      </c>
      <c r="H189" s="30">
        <f t="shared" si="1"/>
        <v>880</v>
      </c>
      <c r="I189" s="30">
        <f>IF(Datos!K189&gt;30,'PANEL DE CONTROL'!$D$14,0)+IF(Datos!M189&gt;80,'PANEL DE CONTROL'!$D$15,0)</f>
        <v>0</v>
      </c>
      <c r="J189" s="30">
        <f>IF(Datos!L189&lt;10,'PANEL DE CONTROL'!$D$16,0)+IF(Datos!N189&gt;24,'PANEL DE CONTROL'!$D$17,0)</f>
        <v>0</v>
      </c>
      <c r="K189" s="30">
        <f t="shared" si="2"/>
        <v>880</v>
      </c>
      <c r="L189" s="30">
        <f>Datos!G189</f>
        <v>412.42</v>
      </c>
      <c r="M189" s="30">
        <f>IF(Datos!O189="muy_nuevo",'PANEL DE CONTROL'!$C$22,IF(Datos!O189="nuevo",'PANEL DE CONTROL'!$C$23,IF(Datos!O189="intermedio",'PANEL DE CONTROL'!$C$24,IF(Datos!O189="establecido",'PANEL DE CONTROL'!$C$25,'PANEL DE CONTROL'!$C$26))))</f>
        <v>0.6</v>
      </c>
      <c r="N189" s="30">
        <f>IF(Datos!J189&gt;=20,0.1,IF(Datos!J189&lt;5,-0.1,0))</f>
        <v>0.1</v>
      </c>
      <c r="O189" s="30">
        <f t="shared" si="3"/>
        <v>0.7</v>
      </c>
      <c r="P189" s="30">
        <f t="shared" si="4"/>
        <v>739.726</v>
      </c>
      <c r="Q189" s="30" t="str">
        <f>IF(P189&gt;='PANEL DE CONTROL'!$B$30,"A+",IF(P189&gt;='PANEL DE CONTROL'!$B$31,"A",IF(P189&gt;='PANEL DE CONTROL'!$B$32,"A-",IF(P189&gt;='PANEL DE CONTROL'!$B$33,"B+",IF(P189&gt;='PANEL DE CONTROL'!$B$34,"B",IF(P189&gt;='PANEL DE CONTROL'!$B$35,"B-",IF(P189&gt;='PANEL DE CONTROL'!$B$36,"C+",IF(P189&gt;='PANEL DE CONTROL'!$B$37,"C",IF(P189&gt;='PANEL DE CONTROL'!$B$38,"C-",IF(P189&gt;='PANEL DE CONTROL'!$B$39,"D+",IF(P189&gt;='PANEL DE CONTROL'!$B$40,"D","F")))))))))))</f>
        <v>B</v>
      </c>
      <c r="R189" s="30" t="str">
        <f>Datos!I189</f>
        <v>B-</v>
      </c>
      <c r="S189" s="30">
        <f>P189-Datos!H189</f>
        <v>46.756</v>
      </c>
      <c r="T189" s="30" t="str">
        <f t="shared" si="5"/>
        <v>Mejora</v>
      </c>
      <c r="U189" s="30" t="str">
        <f>Datos!O189</f>
        <v>establecido</v>
      </c>
      <c r="V189" s="30" t="str">
        <f>Datos!Q189</f>
        <v>outlier</v>
      </c>
    </row>
    <row r="190" ht="15.75" customHeight="1">
      <c r="A190" s="30">
        <f>Datos!A190</f>
        <v>78437096</v>
      </c>
      <c r="B190" s="30">
        <f>Datos!B190</f>
        <v>450</v>
      </c>
      <c r="C190" s="30">
        <f>Datos!C190</f>
        <v>100</v>
      </c>
      <c r="D190" s="30">
        <f>Datos!D190</f>
        <v>200</v>
      </c>
      <c r="E190" s="30">
        <f>(B190/600)*'PANEL DE CONTROL'!$C$7</f>
        <v>450</v>
      </c>
      <c r="F190" s="30">
        <f>(C190/150)*'PANEL DE CONTROL'!$C$8</f>
        <v>100</v>
      </c>
      <c r="G190" s="30">
        <f>(D190/250)*'PANEL DE CONTROL'!$C$9</f>
        <v>200</v>
      </c>
      <c r="H190" s="30">
        <f t="shared" si="1"/>
        <v>750</v>
      </c>
      <c r="I190" s="30">
        <f>IF(Datos!K190&gt;30,'PANEL DE CONTROL'!$D$14,0)+IF(Datos!M190&gt;80,'PANEL DE CONTROL'!$D$15,0)</f>
        <v>0</v>
      </c>
      <c r="J190" s="30">
        <f>IF(Datos!L190&lt;10,'PANEL DE CONTROL'!$D$16,0)+IF(Datos!N190&gt;24,'PANEL DE CONTROL'!$D$17,0)</f>
        <v>0</v>
      </c>
      <c r="K190" s="30">
        <f t="shared" si="2"/>
        <v>750</v>
      </c>
      <c r="L190" s="30">
        <f>Datos!G190</f>
        <v>351.82</v>
      </c>
      <c r="M190" s="30">
        <f>IF(Datos!O190="muy_nuevo",'PANEL DE CONTROL'!$C$22,IF(Datos!O190="nuevo",'PANEL DE CONTROL'!$C$23,IF(Datos!O190="intermedio",'PANEL DE CONTROL'!$C$24,IF(Datos!O190="establecido",'PANEL DE CONTROL'!$C$25,'PANEL DE CONTROL'!$C$26))))</f>
        <v>0.5</v>
      </c>
      <c r="N190" s="30">
        <f>IF(Datos!J190&gt;=20,0.1,IF(Datos!J190&lt;5,-0.1,0))</f>
        <v>0.1</v>
      </c>
      <c r="O190" s="30">
        <f t="shared" si="3"/>
        <v>0.6</v>
      </c>
      <c r="P190" s="30">
        <f t="shared" si="4"/>
        <v>590.728</v>
      </c>
      <c r="Q190" s="30" t="str">
        <f>IF(P190&gt;='PANEL DE CONTROL'!$B$30,"A+",IF(P190&gt;='PANEL DE CONTROL'!$B$31,"A",IF(P190&gt;='PANEL DE CONTROL'!$B$32,"A-",IF(P190&gt;='PANEL DE CONTROL'!$B$33,"B+",IF(P190&gt;='PANEL DE CONTROL'!$B$34,"B",IF(P190&gt;='PANEL DE CONTROL'!$B$35,"B-",IF(P190&gt;='PANEL DE CONTROL'!$B$36,"C+",IF(P190&gt;='PANEL DE CONTROL'!$B$37,"C",IF(P190&gt;='PANEL DE CONTROL'!$B$38,"C-",IF(P190&gt;='PANEL DE CONTROL'!$B$39,"D+",IF(P190&gt;='PANEL DE CONTROL'!$B$40,"D","F")))))))))))</f>
        <v>C</v>
      </c>
      <c r="R190" s="30" t="str">
        <f>Datos!I190</f>
        <v>C</v>
      </c>
      <c r="S190" s="30">
        <f>P190-Datos!H190</f>
        <v>39.818</v>
      </c>
      <c r="T190" s="30" t="str">
        <f t="shared" si="5"/>
        <v>Mejora</v>
      </c>
      <c r="U190" s="30" t="str">
        <f>Datos!O190</f>
        <v>intermedio</v>
      </c>
      <c r="V190" s="30" t="str">
        <f>Datos!Q190</f>
        <v>outlier</v>
      </c>
    </row>
    <row r="191" ht="15.75" customHeight="1">
      <c r="A191" s="30">
        <f>Datos!A191</f>
        <v>28104874</v>
      </c>
      <c r="B191" s="30">
        <f>Datos!B191</f>
        <v>150</v>
      </c>
      <c r="C191" s="30">
        <f>Datos!C191</f>
        <v>0</v>
      </c>
      <c r="D191" s="30">
        <f>Datos!D191</f>
        <v>50</v>
      </c>
      <c r="E191" s="30">
        <f>(B191/600)*'PANEL DE CONTROL'!$C$7</f>
        <v>150</v>
      </c>
      <c r="F191" s="30">
        <f>(C191/150)*'PANEL DE CONTROL'!$C$8</f>
        <v>0</v>
      </c>
      <c r="G191" s="30">
        <f>(D191/250)*'PANEL DE CONTROL'!$C$9</f>
        <v>50</v>
      </c>
      <c r="H191" s="30">
        <f t="shared" si="1"/>
        <v>200</v>
      </c>
      <c r="I191" s="30">
        <f>IF(Datos!K191&gt;30,'PANEL DE CONTROL'!$D$14,0)+IF(Datos!M191&gt;80,'PANEL DE CONTROL'!$D$15,0)</f>
        <v>0</v>
      </c>
      <c r="J191" s="30">
        <f>IF(Datos!L191&lt;10,'PANEL DE CONTROL'!$D$16,0)+IF(Datos!N191&gt;24,'PANEL DE CONTROL'!$D$17,0)</f>
        <v>0</v>
      </c>
      <c r="K191" s="30">
        <f t="shared" si="2"/>
        <v>200</v>
      </c>
      <c r="L191" s="30">
        <f>Datos!G191</f>
        <v>845.44</v>
      </c>
      <c r="M191" s="30">
        <f>IF(Datos!O191="muy_nuevo",'PANEL DE CONTROL'!$C$22,IF(Datos!O191="nuevo",'PANEL DE CONTROL'!$C$23,IF(Datos!O191="intermedio",'PANEL DE CONTROL'!$C$24,IF(Datos!O191="establecido",'PANEL DE CONTROL'!$C$25,'PANEL DE CONTROL'!$C$26))))</f>
        <v>0.3</v>
      </c>
      <c r="N191" s="30">
        <f>IF(Datos!J191&gt;=20,0.1,IF(Datos!J191&lt;5,-0.1,0))</f>
        <v>0.1</v>
      </c>
      <c r="O191" s="30">
        <f t="shared" si="3"/>
        <v>0.4</v>
      </c>
      <c r="P191" s="30">
        <f t="shared" si="4"/>
        <v>587.264</v>
      </c>
      <c r="Q191" s="30" t="str">
        <f>IF(P191&gt;='PANEL DE CONTROL'!$B$30,"A+",IF(P191&gt;='PANEL DE CONTROL'!$B$31,"A",IF(P191&gt;='PANEL DE CONTROL'!$B$32,"A-",IF(P191&gt;='PANEL DE CONTROL'!$B$33,"B+",IF(P191&gt;='PANEL DE CONTROL'!$B$34,"B",IF(P191&gt;='PANEL DE CONTROL'!$B$35,"B-",IF(P191&gt;='PANEL DE CONTROL'!$B$36,"C+",IF(P191&gt;='PANEL DE CONTROL'!$B$37,"C",IF(P191&gt;='PANEL DE CONTROL'!$B$38,"C-",IF(P191&gt;='PANEL DE CONTROL'!$B$39,"D+",IF(P191&gt;='PANEL DE CONTROL'!$B$40,"D","F")))))))))))</f>
        <v>C</v>
      </c>
      <c r="R191" s="30" t="str">
        <f>Datos!I191</f>
        <v>B-</v>
      </c>
      <c r="S191" s="30">
        <f>P191-Datos!H191</f>
        <v>-64.546</v>
      </c>
      <c r="T191" s="30" t="str">
        <f t="shared" si="5"/>
        <v>Empeora</v>
      </c>
      <c r="U191" s="30" t="str">
        <f>Datos!O191</f>
        <v>muy_nuevo</v>
      </c>
      <c r="V191" s="30" t="str">
        <f>Datos!Q191</f>
        <v>outlier</v>
      </c>
    </row>
    <row r="192" ht="15.75" customHeight="1">
      <c r="A192" s="30">
        <f>Datos!A192</f>
        <v>65417392</v>
      </c>
      <c r="B192" s="30">
        <f>Datos!B192</f>
        <v>530</v>
      </c>
      <c r="C192" s="30">
        <f>Datos!C192</f>
        <v>150</v>
      </c>
      <c r="D192" s="30">
        <f>Datos!D192</f>
        <v>200</v>
      </c>
      <c r="E192" s="30">
        <f>(B192/600)*'PANEL DE CONTROL'!$C$7</f>
        <v>530</v>
      </c>
      <c r="F192" s="30">
        <f>(C192/150)*'PANEL DE CONTROL'!$C$8</f>
        <v>150</v>
      </c>
      <c r="G192" s="30">
        <f>(D192/250)*'PANEL DE CONTROL'!$C$9</f>
        <v>200</v>
      </c>
      <c r="H192" s="30">
        <f t="shared" si="1"/>
        <v>880</v>
      </c>
      <c r="I192" s="30">
        <f>IF(Datos!K192&gt;30,'PANEL DE CONTROL'!$D$14,0)+IF(Datos!M192&gt;80,'PANEL DE CONTROL'!$D$15,0)</f>
        <v>0</v>
      </c>
      <c r="J192" s="30">
        <f>IF(Datos!L192&lt;10,'PANEL DE CONTROL'!$D$16,0)+IF(Datos!N192&gt;24,'PANEL DE CONTROL'!$D$17,0)</f>
        <v>0</v>
      </c>
      <c r="K192" s="30">
        <f t="shared" si="2"/>
        <v>880</v>
      </c>
      <c r="L192" s="30">
        <f>Datos!G192</f>
        <v>418.92</v>
      </c>
      <c r="M192" s="30">
        <f>IF(Datos!O192="muy_nuevo",'PANEL DE CONTROL'!$C$22,IF(Datos!O192="nuevo",'PANEL DE CONTROL'!$C$23,IF(Datos!O192="intermedio",'PANEL DE CONTROL'!$C$24,IF(Datos!O192="establecido",'PANEL DE CONTROL'!$C$25,'PANEL DE CONTROL'!$C$26))))</f>
        <v>0.6</v>
      </c>
      <c r="N192" s="30">
        <f>IF(Datos!J192&gt;=20,0.1,IF(Datos!J192&lt;5,-0.1,0))</f>
        <v>0.1</v>
      </c>
      <c r="O192" s="30">
        <f t="shared" si="3"/>
        <v>0.7</v>
      </c>
      <c r="P192" s="30">
        <f t="shared" si="4"/>
        <v>741.676</v>
      </c>
      <c r="Q192" s="30" t="str">
        <f>IF(P192&gt;='PANEL DE CONTROL'!$B$30,"A+",IF(P192&gt;='PANEL DE CONTROL'!$B$31,"A",IF(P192&gt;='PANEL DE CONTROL'!$B$32,"A-",IF(P192&gt;='PANEL DE CONTROL'!$B$33,"B+",IF(P192&gt;='PANEL DE CONTROL'!$B$34,"B",IF(P192&gt;='PANEL DE CONTROL'!$B$35,"B-",IF(P192&gt;='PANEL DE CONTROL'!$B$36,"C+",IF(P192&gt;='PANEL DE CONTROL'!$B$37,"C",IF(P192&gt;='PANEL DE CONTROL'!$B$38,"C-",IF(P192&gt;='PANEL DE CONTROL'!$B$39,"D+",IF(P192&gt;='PANEL DE CONTROL'!$B$40,"D","F")))))))))))</f>
        <v>B</v>
      </c>
      <c r="R192" s="30" t="str">
        <f>Datos!I192</f>
        <v>B-</v>
      </c>
      <c r="S192" s="30">
        <f>P192-Datos!H192</f>
        <v>46.106</v>
      </c>
      <c r="T192" s="30" t="str">
        <f t="shared" si="5"/>
        <v>Mejora</v>
      </c>
      <c r="U192" s="30" t="str">
        <f>Datos!O192</f>
        <v>establecido</v>
      </c>
      <c r="V192" s="30" t="str">
        <f>Datos!Q192</f>
        <v>outlier</v>
      </c>
    </row>
    <row r="193" ht="15.75" customHeight="1">
      <c r="A193" s="30">
        <f>Datos!A193</f>
        <v>30185028</v>
      </c>
      <c r="B193" s="30">
        <f>Datos!B193</f>
        <v>100</v>
      </c>
      <c r="C193" s="30">
        <f>Datos!C193</f>
        <v>50</v>
      </c>
      <c r="D193" s="30">
        <f>Datos!D193</f>
        <v>50</v>
      </c>
      <c r="E193" s="30">
        <f>(B193/600)*'PANEL DE CONTROL'!$C$7</f>
        <v>100</v>
      </c>
      <c r="F193" s="30">
        <f>(C193/150)*'PANEL DE CONTROL'!$C$8</f>
        <v>50</v>
      </c>
      <c r="G193" s="30">
        <f>(D193/250)*'PANEL DE CONTROL'!$C$9</f>
        <v>50</v>
      </c>
      <c r="H193" s="30">
        <f t="shared" si="1"/>
        <v>200</v>
      </c>
      <c r="I193" s="30">
        <f>IF(Datos!K193&gt;30,'PANEL DE CONTROL'!$D$14,0)+IF(Datos!M193&gt;80,'PANEL DE CONTROL'!$D$15,0)</f>
        <v>0</v>
      </c>
      <c r="J193" s="30">
        <f>IF(Datos!L193&lt;10,'PANEL DE CONTROL'!$D$16,0)+IF(Datos!N193&gt;24,'PANEL DE CONTROL'!$D$17,0)</f>
        <v>0</v>
      </c>
      <c r="K193" s="30">
        <f t="shared" si="2"/>
        <v>200</v>
      </c>
      <c r="L193" s="30">
        <f>Datos!G193</f>
        <v>827.94</v>
      </c>
      <c r="M193" s="30">
        <f>IF(Datos!O193="muy_nuevo",'PANEL DE CONTROL'!$C$22,IF(Datos!O193="nuevo",'PANEL DE CONTROL'!$C$23,IF(Datos!O193="intermedio",'PANEL DE CONTROL'!$C$24,IF(Datos!O193="establecido",'PANEL DE CONTROL'!$C$25,'PANEL DE CONTROL'!$C$26))))</f>
        <v>0.3</v>
      </c>
      <c r="N193" s="30">
        <f>IF(Datos!J193&gt;=20,0.1,IF(Datos!J193&lt;5,-0.1,0))</f>
        <v>0.1</v>
      </c>
      <c r="O193" s="30">
        <f t="shared" si="3"/>
        <v>0.4</v>
      </c>
      <c r="P193" s="30">
        <f t="shared" si="4"/>
        <v>576.764</v>
      </c>
      <c r="Q193" s="30" t="str">
        <f>IF(P193&gt;='PANEL DE CONTROL'!$B$30,"A+",IF(P193&gt;='PANEL DE CONTROL'!$B$31,"A",IF(P193&gt;='PANEL DE CONTROL'!$B$32,"A-",IF(P193&gt;='PANEL DE CONTROL'!$B$33,"B+",IF(P193&gt;='PANEL DE CONTROL'!$B$34,"B",IF(P193&gt;='PANEL DE CONTROL'!$B$35,"B-",IF(P193&gt;='PANEL DE CONTROL'!$B$36,"C+",IF(P193&gt;='PANEL DE CONTROL'!$B$37,"C",IF(P193&gt;='PANEL DE CONTROL'!$B$38,"C-",IF(P193&gt;='PANEL DE CONTROL'!$B$39,"D+",IF(P193&gt;='PANEL DE CONTROL'!$B$40,"D","F")))))))))))</f>
        <v>C</v>
      </c>
      <c r="R193" s="30" t="str">
        <f>Datos!I193</f>
        <v>C+</v>
      </c>
      <c r="S193" s="30">
        <f>P193-Datos!H193</f>
        <v>-62.796</v>
      </c>
      <c r="T193" s="30" t="str">
        <f t="shared" si="5"/>
        <v>Empeora</v>
      </c>
      <c r="U193" s="30" t="str">
        <f>Datos!O193</f>
        <v>muy_nuevo</v>
      </c>
      <c r="V193" s="30" t="str">
        <f>Datos!Q193</f>
        <v>outlier</v>
      </c>
    </row>
    <row r="194" ht="15.75" customHeight="1">
      <c r="A194" s="30">
        <f>Datos!A194</f>
        <v>86481323</v>
      </c>
      <c r="B194" s="30">
        <f>Datos!B194</f>
        <v>450</v>
      </c>
      <c r="C194" s="30">
        <f>Datos!C194</f>
        <v>100</v>
      </c>
      <c r="D194" s="30">
        <f>Datos!D194</f>
        <v>200</v>
      </c>
      <c r="E194" s="30">
        <f>(B194/600)*'PANEL DE CONTROL'!$C$7</f>
        <v>450</v>
      </c>
      <c r="F194" s="30">
        <f>(C194/150)*'PANEL DE CONTROL'!$C$8</f>
        <v>100</v>
      </c>
      <c r="G194" s="30">
        <f>(D194/250)*'PANEL DE CONTROL'!$C$9</f>
        <v>200</v>
      </c>
      <c r="H194" s="30">
        <f t="shared" si="1"/>
        <v>750</v>
      </c>
      <c r="I194" s="30">
        <f>IF(Datos!K194&gt;30,'PANEL DE CONTROL'!$D$14,0)+IF(Datos!M194&gt;80,'PANEL DE CONTROL'!$D$15,0)</f>
        <v>0</v>
      </c>
      <c r="J194" s="30">
        <f>IF(Datos!L194&lt;10,'PANEL DE CONTROL'!$D$16,0)+IF(Datos!N194&gt;24,'PANEL DE CONTROL'!$D$17,0)</f>
        <v>0</v>
      </c>
      <c r="K194" s="30">
        <f t="shared" si="2"/>
        <v>750</v>
      </c>
      <c r="L194" s="30">
        <f>Datos!G194</f>
        <v>360</v>
      </c>
      <c r="M194" s="30">
        <f>IF(Datos!O194="muy_nuevo",'PANEL DE CONTROL'!$C$22,IF(Datos!O194="nuevo",'PANEL DE CONTROL'!$C$23,IF(Datos!O194="intermedio",'PANEL DE CONTROL'!$C$24,IF(Datos!O194="establecido",'PANEL DE CONTROL'!$C$25,'PANEL DE CONTROL'!$C$26))))</f>
        <v>0.5</v>
      </c>
      <c r="N194" s="30">
        <f>IF(Datos!J194&gt;=20,0.1,IF(Datos!J194&lt;5,-0.1,0))</f>
        <v>0.1</v>
      </c>
      <c r="O194" s="30">
        <f t="shared" si="3"/>
        <v>0.6</v>
      </c>
      <c r="P194" s="30">
        <f t="shared" si="4"/>
        <v>594</v>
      </c>
      <c r="Q194" s="30" t="str">
        <f>IF(P194&gt;='PANEL DE CONTROL'!$B$30,"A+",IF(P194&gt;='PANEL DE CONTROL'!$B$31,"A",IF(P194&gt;='PANEL DE CONTROL'!$B$32,"A-",IF(P194&gt;='PANEL DE CONTROL'!$B$33,"B+",IF(P194&gt;='PANEL DE CONTROL'!$B$34,"B",IF(P194&gt;='PANEL DE CONTROL'!$B$35,"B-",IF(P194&gt;='PANEL DE CONTROL'!$B$36,"C+",IF(P194&gt;='PANEL DE CONTROL'!$B$37,"C",IF(P194&gt;='PANEL DE CONTROL'!$B$38,"C-",IF(P194&gt;='PANEL DE CONTROL'!$B$39,"D+",IF(P194&gt;='PANEL DE CONTROL'!$B$40,"D","F")))))))))))</f>
        <v>C</v>
      </c>
      <c r="R194" s="30" t="str">
        <f>Datos!I194</f>
        <v>C</v>
      </c>
      <c r="S194" s="30">
        <f>P194-Datos!H194</f>
        <v>39</v>
      </c>
      <c r="T194" s="30" t="str">
        <f t="shared" si="5"/>
        <v>Mejora</v>
      </c>
      <c r="U194" s="30" t="str">
        <f>Datos!O194</f>
        <v>intermedio</v>
      </c>
      <c r="V194" s="30" t="str">
        <f>Datos!Q194</f>
        <v>outlier</v>
      </c>
    </row>
    <row r="195" ht="15.75" customHeight="1">
      <c r="A195" s="30">
        <f>Datos!A195</f>
        <v>72071420</v>
      </c>
      <c r="B195" s="30">
        <f>Datos!B195</f>
        <v>530</v>
      </c>
      <c r="C195" s="30">
        <f>Datos!C195</f>
        <v>150</v>
      </c>
      <c r="D195" s="30">
        <f>Datos!D195</f>
        <v>175</v>
      </c>
      <c r="E195" s="30">
        <f>(B195/600)*'PANEL DE CONTROL'!$C$7</f>
        <v>530</v>
      </c>
      <c r="F195" s="30">
        <f>(C195/150)*'PANEL DE CONTROL'!$C$8</f>
        <v>150</v>
      </c>
      <c r="G195" s="30">
        <f>(D195/250)*'PANEL DE CONTROL'!$C$9</f>
        <v>175</v>
      </c>
      <c r="H195" s="30">
        <f t="shared" si="1"/>
        <v>855</v>
      </c>
      <c r="I195" s="30">
        <f>IF(Datos!K195&gt;30,'PANEL DE CONTROL'!$D$14,0)+IF(Datos!M195&gt;80,'PANEL DE CONTROL'!$D$15,0)</f>
        <v>0</v>
      </c>
      <c r="J195" s="30">
        <f>IF(Datos!L195&lt;10,'PANEL DE CONTROL'!$D$16,0)+IF(Datos!N195&gt;24,'PANEL DE CONTROL'!$D$17,0)</f>
        <v>0</v>
      </c>
      <c r="K195" s="30">
        <f t="shared" si="2"/>
        <v>855</v>
      </c>
      <c r="L195" s="30">
        <f>Datos!G195</f>
        <v>457.45</v>
      </c>
      <c r="M195" s="30">
        <f>IF(Datos!O195="muy_nuevo",'PANEL DE CONTROL'!$C$22,IF(Datos!O195="nuevo",'PANEL DE CONTROL'!$C$23,IF(Datos!O195="intermedio",'PANEL DE CONTROL'!$C$24,IF(Datos!O195="establecido",'PANEL DE CONTROL'!$C$25,'PANEL DE CONTROL'!$C$26))))</f>
        <v>0.6</v>
      </c>
      <c r="N195" s="30">
        <f>IF(Datos!J195&gt;=20,0.1,IF(Datos!J195&lt;5,-0.1,0))</f>
        <v>0.1</v>
      </c>
      <c r="O195" s="30">
        <f t="shared" si="3"/>
        <v>0.7</v>
      </c>
      <c r="P195" s="30">
        <f t="shared" si="4"/>
        <v>735.735</v>
      </c>
      <c r="Q195" s="30" t="str">
        <f>IF(P195&gt;='PANEL DE CONTROL'!$B$30,"A+",IF(P195&gt;='PANEL DE CONTROL'!$B$31,"A",IF(P195&gt;='PANEL DE CONTROL'!$B$32,"A-",IF(P195&gt;='PANEL DE CONTROL'!$B$33,"B+",IF(P195&gt;='PANEL DE CONTROL'!$B$34,"B",IF(P195&gt;='PANEL DE CONTROL'!$B$35,"B-",IF(P195&gt;='PANEL DE CONTROL'!$B$36,"C+",IF(P195&gt;='PANEL DE CONTROL'!$B$37,"C",IF(P195&gt;='PANEL DE CONTROL'!$B$38,"C-",IF(P195&gt;='PANEL DE CONTROL'!$B$39,"D+",IF(P195&gt;='PANEL DE CONTROL'!$B$40,"D","F")))))))))))</f>
        <v>B</v>
      </c>
      <c r="R195" s="30" t="str">
        <f>Datos!I195</f>
        <v>B-</v>
      </c>
      <c r="S195" s="30">
        <f>P195-Datos!H195</f>
        <v>39.755</v>
      </c>
      <c r="T195" s="30" t="str">
        <f t="shared" si="5"/>
        <v>Mejora</v>
      </c>
      <c r="U195" s="30" t="str">
        <f>Datos!O195</f>
        <v>establecido</v>
      </c>
      <c r="V195" s="30" t="str">
        <f>Datos!Q195</f>
        <v>outlier</v>
      </c>
    </row>
    <row r="196" ht="15.75" customHeight="1">
      <c r="A196" s="30">
        <f>Datos!A196</f>
        <v>86117319</v>
      </c>
      <c r="B196" s="30">
        <f>Datos!B196</f>
        <v>450</v>
      </c>
      <c r="C196" s="30">
        <f>Datos!C196</f>
        <v>100</v>
      </c>
      <c r="D196" s="30">
        <f>Datos!D196</f>
        <v>200</v>
      </c>
      <c r="E196" s="30">
        <f>(B196/600)*'PANEL DE CONTROL'!$C$7</f>
        <v>450</v>
      </c>
      <c r="F196" s="30">
        <f>(C196/150)*'PANEL DE CONTROL'!$C$8</f>
        <v>100</v>
      </c>
      <c r="G196" s="30">
        <f>(D196/250)*'PANEL DE CONTROL'!$C$9</f>
        <v>200</v>
      </c>
      <c r="H196" s="30">
        <f t="shared" si="1"/>
        <v>750</v>
      </c>
      <c r="I196" s="30">
        <f>IF(Datos!K196&gt;30,'PANEL DE CONTROL'!$D$14,0)+IF(Datos!M196&gt;80,'PANEL DE CONTROL'!$D$15,0)</f>
        <v>0</v>
      </c>
      <c r="J196" s="30">
        <f>IF(Datos!L196&lt;10,'PANEL DE CONTROL'!$D$16,0)+IF(Datos!N196&gt;24,'PANEL DE CONTROL'!$D$17,0)</f>
        <v>0</v>
      </c>
      <c r="K196" s="30">
        <f t="shared" si="2"/>
        <v>750</v>
      </c>
      <c r="L196" s="30">
        <f>Datos!G196</f>
        <v>495.61</v>
      </c>
      <c r="M196" s="30">
        <f>IF(Datos!O196="muy_nuevo",'PANEL DE CONTROL'!$C$22,IF(Datos!O196="nuevo",'PANEL DE CONTROL'!$C$23,IF(Datos!O196="intermedio",'PANEL DE CONTROL'!$C$24,IF(Datos!O196="establecido",'PANEL DE CONTROL'!$C$25,'PANEL DE CONTROL'!$C$26))))</f>
        <v>0.6</v>
      </c>
      <c r="N196" s="30">
        <f>IF(Datos!J196&gt;=20,0.1,IF(Datos!J196&lt;5,-0.1,0))</f>
        <v>0</v>
      </c>
      <c r="O196" s="30">
        <f t="shared" si="3"/>
        <v>0.6</v>
      </c>
      <c r="P196" s="30">
        <f t="shared" si="4"/>
        <v>648.244</v>
      </c>
      <c r="Q196" s="30" t="str">
        <f>IF(P196&gt;='PANEL DE CONTROL'!$B$30,"A+",IF(P196&gt;='PANEL DE CONTROL'!$B$31,"A",IF(P196&gt;='PANEL DE CONTROL'!$B$32,"A-",IF(P196&gt;='PANEL DE CONTROL'!$B$33,"B+",IF(P196&gt;='PANEL DE CONTROL'!$B$34,"B",IF(P196&gt;='PANEL DE CONTROL'!$B$35,"B-",IF(P196&gt;='PANEL DE CONTROL'!$B$36,"C+",IF(P196&gt;='PANEL DE CONTROL'!$B$37,"C",IF(P196&gt;='PANEL DE CONTROL'!$B$38,"C-",IF(P196&gt;='PANEL DE CONTROL'!$B$39,"D+",IF(P196&gt;='PANEL DE CONTROL'!$B$40,"D","F")))))))))))</f>
        <v>C+</v>
      </c>
      <c r="R196" s="30" t="str">
        <f>Datos!I196</f>
        <v>C+</v>
      </c>
      <c r="S196" s="30">
        <f>P196-Datos!H196</f>
        <v>0.004</v>
      </c>
      <c r="T196" s="30" t="str">
        <f t="shared" si="5"/>
        <v>Igual</v>
      </c>
      <c r="U196" s="30" t="str">
        <f>Datos!O196</f>
        <v>establecido</v>
      </c>
      <c r="V196" s="30" t="str">
        <f>Datos!Q196</f>
        <v>outlier</v>
      </c>
    </row>
    <row r="197" ht="15.75" customHeight="1">
      <c r="A197" s="30">
        <f>Datos!A197</f>
        <v>57426534</v>
      </c>
      <c r="B197" s="30">
        <f>Datos!B197</f>
        <v>100</v>
      </c>
      <c r="C197" s="30">
        <f>Datos!C197</f>
        <v>0</v>
      </c>
      <c r="D197" s="30">
        <f>Datos!D197</f>
        <v>75</v>
      </c>
      <c r="E197" s="30">
        <f>(B197/600)*'PANEL DE CONTROL'!$C$7</f>
        <v>100</v>
      </c>
      <c r="F197" s="30">
        <f>(C197/150)*'PANEL DE CONTROL'!$C$8</f>
        <v>0</v>
      </c>
      <c r="G197" s="30">
        <f>(D197/250)*'PANEL DE CONTROL'!$C$9</f>
        <v>75</v>
      </c>
      <c r="H197" s="30">
        <f t="shared" si="1"/>
        <v>175</v>
      </c>
      <c r="I197" s="30">
        <f>IF(Datos!K197&gt;30,'PANEL DE CONTROL'!$D$14,0)+IF(Datos!M197&gt;80,'PANEL DE CONTROL'!$D$15,0)</f>
        <v>0</v>
      </c>
      <c r="J197" s="30">
        <f>IF(Datos!L197&lt;10,'PANEL DE CONTROL'!$D$16,0)+IF(Datos!N197&gt;24,'PANEL DE CONTROL'!$D$17,0)</f>
        <v>0</v>
      </c>
      <c r="K197" s="30">
        <f t="shared" si="2"/>
        <v>175</v>
      </c>
      <c r="L197" s="30">
        <f>Datos!G197</f>
        <v>802.09</v>
      </c>
      <c r="M197" s="30">
        <f>IF(Datos!O197="muy_nuevo",'PANEL DE CONTROL'!$C$22,IF(Datos!O197="nuevo",'PANEL DE CONTROL'!$C$23,IF(Datos!O197="intermedio",'PANEL DE CONTROL'!$C$24,IF(Datos!O197="establecido",'PANEL DE CONTROL'!$C$25,'PANEL DE CONTROL'!$C$26))))</f>
        <v>0.3</v>
      </c>
      <c r="N197" s="30">
        <f>IF(Datos!J197&gt;=20,0.1,IF(Datos!J197&lt;5,-0.1,0))</f>
        <v>0.1</v>
      </c>
      <c r="O197" s="30">
        <f t="shared" si="3"/>
        <v>0.4</v>
      </c>
      <c r="P197" s="30">
        <f t="shared" si="4"/>
        <v>551.254</v>
      </c>
      <c r="Q197" s="30" t="str">
        <f>IF(P197&gt;='PANEL DE CONTROL'!$B$30,"A+",IF(P197&gt;='PANEL DE CONTROL'!$B$31,"A",IF(P197&gt;='PANEL DE CONTROL'!$B$32,"A-",IF(P197&gt;='PANEL DE CONTROL'!$B$33,"B+",IF(P197&gt;='PANEL DE CONTROL'!$B$34,"B",IF(P197&gt;='PANEL DE CONTROL'!$B$35,"B-",IF(P197&gt;='PANEL DE CONTROL'!$B$36,"C+",IF(P197&gt;='PANEL DE CONTROL'!$B$37,"C",IF(P197&gt;='PANEL DE CONTROL'!$B$38,"C-",IF(P197&gt;='PANEL DE CONTROL'!$B$39,"D+",IF(P197&gt;='PANEL DE CONTROL'!$B$40,"D","F")))))))))))</f>
        <v>C</v>
      </c>
      <c r="R197" s="30" t="str">
        <f>Datos!I197</f>
        <v>C+</v>
      </c>
      <c r="S197" s="30">
        <f>P197-Datos!H197</f>
        <v>-62.716</v>
      </c>
      <c r="T197" s="30" t="str">
        <f t="shared" si="5"/>
        <v>Empeora</v>
      </c>
      <c r="U197" s="30" t="str">
        <f>Datos!O197</f>
        <v>muy_nuevo</v>
      </c>
      <c r="V197" s="30" t="str">
        <f>Datos!Q197</f>
        <v>outlier</v>
      </c>
    </row>
    <row r="198" ht="15.75" customHeight="1">
      <c r="A198" s="30">
        <f>Datos!A198</f>
        <v>32694244</v>
      </c>
      <c r="B198" s="30">
        <f>Datos!B198</f>
        <v>100</v>
      </c>
      <c r="C198" s="30">
        <f>Datos!C198</f>
        <v>0</v>
      </c>
      <c r="D198" s="30">
        <f>Datos!D198</f>
        <v>75</v>
      </c>
      <c r="E198" s="30">
        <f>(B198/600)*'PANEL DE CONTROL'!$C$7</f>
        <v>100</v>
      </c>
      <c r="F198" s="30">
        <f>(C198/150)*'PANEL DE CONTROL'!$C$8</f>
        <v>0</v>
      </c>
      <c r="G198" s="30">
        <f>(D198/250)*'PANEL DE CONTROL'!$C$9</f>
        <v>75</v>
      </c>
      <c r="H198" s="30">
        <f t="shared" si="1"/>
        <v>175</v>
      </c>
      <c r="I198" s="30">
        <f>IF(Datos!K198&gt;30,'PANEL DE CONTROL'!$D$14,0)+IF(Datos!M198&gt;80,'PANEL DE CONTROL'!$D$15,0)</f>
        <v>0</v>
      </c>
      <c r="J198" s="30">
        <f>IF(Datos!L198&lt;10,'PANEL DE CONTROL'!$D$16,0)+IF(Datos!N198&gt;24,'PANEL DE CONTROL'!$D$17,0)</f>
        <v>0</v>
      </c>
      <c r="K198" s="30">
        <f t="shared" si="2"/>
        <v>175</v>
      </c>
      <c r="L198" s="30">
        <f>Datos!G198</f>
        <v>801.04</v>
      </c>
      <c r="M198" s="30">
        <f>IF(Datos!O198="muy_nuevo",'PANEL DE CONTROL'!$C$22,IF(Datos!O198="nuevo",'PANEL DE CONTROL'!$C$23,IF(Datos!O198="intermedio",'PANEL DE CONTROL'!$C$24,IF(Datos!O198="establecido",'PANEL DE CONTROL'!$C$25,'PANEL DE CONTROL'!$C$26))))</f>
        <v>0.3</v>
      </c>
      <c r="N198" s="30">
        <f>IF(Datos!J198&gt;=20,0.1,IF(Datos!J198&lt;5,-0.1,0))</f>
        <v>0.1</v>
      </c>
      <c r="O198" s="30">
        <f t="shared" si="3"/>
        <v>0.4</v>
      </c>
      <c r="P198" s="30">
        <f t="shared" si="4"/>
        <v>550.624</v>
      </c>
      <c r="Q198" s="30" t="str">
        <f>IF(P198&gt;='PANEL DE CONTROL'!$B$30,"A+",IF(P198&gt;='PANEL DE CONTROL'!$B$31,"A",IF(P198&gt;='PANEL DE CONTROL'!$B$32,"A-",IF(P198&gt;='PANEL DE CONTROL'!$B$33,"B+",IF(P198&gt;='PANEL DE CONTROL'!$B$34,"B",IF(P198&gt;='PANEL DE CONTROL'!$B$35,"B-",IF(P198&gt;='PANEL DE CONTROL'!$B$36,"C+",IF(P198&gt;='PANEL DE CONTROL'!$B$37,"C",IF(P198&gt;='PANEL DE CONTROL'!$B$38,"C-",IF(P198&gt;='PANEL DE CONTROL'!$B$39,"D+",IF(P198&gt;='PANEL DE CONTROL'!$B$40,"D","F")))))))))))</f>
        <v>C</v>
      </c>
      <c r="R198" s="30" t="str">
        <f>Datos!I198</f>
        <v>C+</v>
      </c>
      <c r="S198" s="30">
        <f>P198-Datos!H198</f>
        <v>-62.606</v>
      </c>
      <c r="T198" s="30" t="str">
        <f t="shared" si="5"/>
        <v>Empeora</v>
      </c>
      <c r="U198" s="30" t="str">
        <f>Datos!O198</f>
        <v>muy_nuevo</v>
      </c>
      <c r="V198" s="30" t="str">
        <f>Datos!Q198</f>
        <v>outlier</v>
      </c>
    </row>
    <row r="199" ht="15.75" customHeight="1">
      <c r="A199" s="30">
        <f>Datos!A199</f>
        <v>48200458</v>
      </c>
      <c r="B199" s="30">
        <f>Datos!B199</f>
        <v>150</v>
      </c>
      <c r="C199" s="30">
        <f>Datos!C199</f>
        <v>0</v>
      </c>
      <c r="D199" s="30">
        <f>Datos!D199</f>
        <v>50</v>
      </c>
      <c r="E199" s="30">
        <f>(B199/600)*'PANEL DE CONTROL'!$C$7</f>
        <v>150</v>
      </c>
      <c r="F199" s="30">
        <f>(C199/150)*'PANEL DE CONTROL'!$C$8</f>
        <v>0</v>
      </c>
      <c r="G199" s="30">
        <f>(D199/250)*'PANEL DE CONTROL'!$C$9</f>
        <v>50</v>
      </c>
      <c r="H199" s="30">
        <f t="shared" si="1"/>
        <v>200</v>
      </c>
      <c r="I199" s="30">
        <f>IF(Datos!K199&gt;30,'PANEL DE CONTROL'!$D$14,0)+IF(Datos!M199&gt;80,'PANEL DE CONTROL'!$D$15,0)</f>
        <v>0</v>
      </c>
      <c r="J199" s="30">
        <f>IF(Datos!L199&lt;10,'PANEL DE CONTROL'!$D$16,0)+IF(Datos!N199&gt;24,'PANEL DE CONTROL'!$D$17,0)</f>
        <v>0</v>
      </c>
      <c r="K199" s="30">
        <f t="shared" si="2"/>
        <v>200</v>
      </c>
      <c r="L199" s="30">
        <f>Datos!G199</f>
        <v>879.87</v>
      </c>
      <c r="M199" s="30">
        <f>IF(Datos!O199="muy_nuevo",'PANEL DE CONTROL'!$C$22,IF(Datos!O199="nuevo",'PANEL DE CONTROL'!$C$23,IF(Datos!O199="intermedio",'PANEL DE CONTROL'!$C$24,IF(Datos!O199="establecido",'PANEL DE CONTROL'!$C$25,'PANEL DE CONTROL'!$C$26))))</f>
        <v>0.3</v>
      </c>
      <c r="N199" s="30">
        <f>IF(Datos!J199&gt;=20,0.1,IF(Datos!J199&lt;5,-0.1,0))</f>
        <v>0</v>
      </c>
      <c r="O199" s="30">
        <f t="shared" si="3"/>
        <v>0.3</v>
      </c>
      <c r="P199" s="30">
        <f t="shared" si="4"/>
        <v>675.909</v>
      </c>
      <c r="Q199" s="30" t="str">
        <f>IF(P199&gt;='PANEL DE CONTROL'!$B$30,"A+",IF(P199&gt;='PANEL DE CONTROL'!$B$31,"A",IF(P199&gt;='PANEL DE CONTROL'!$B$32,"A-",IF(P199&gt;='PANEL DE CONTROL'!$B$33,"B+",IF(P199&gt;='PANEL DE CONTROL'!$B$34,"B",IF(P199&gt;='PANEL DE CONTROL'!$B$35,"B-",IF(P199&gt;='PANEL DE CONTROL'!$B$36,"C+",IF(P199&gt;='PANEL DE CONTROL'!$B$37,"C",IF(P199&gt;='PANEL DE CONTROL'!$B$38,"C-",IF(P199&gt;='PANEL DE CONTROL'!$B$39,"D+",IF(P199&gt;='PANEL DE CONTROL'!$B$40,"D","F")))))))))))</f>
        <v>B-</v>
      </c>
      <c r="R199" s="30" t="str">
        <f>Datos!I199</f>
        <v>B-</v>
      </c>
      <c r="S199" s="30">
        <f>P199-Datos!H199</f>
        <v>-0.001</v>
      </c>
      <c r="T199" s="30" t="str">
        <f t="shared" si="5"/>
        <v>Igual</v>
      </c>
      <c r="U199" s="30" t="str">
        <f>Datos!O199</f>
        <v>muy_nuevo</v>
      </c>
      <c r="V199" s="30" t="str">
        <f>Datos!Q199</f>
        <v>outlier</v>
      </c>
    </row>
    <row r="200" ht="15.75" customHeight="1">
      <c r="A200" s="30">
        <f>Datos!A200</f>
        <v>51897284</v>
      </c>
      <c r="B200" s="30">
        <f>Datos!B200</f>
        <v>530</v>
      </c>
      <c r="C200" s="30">
        <f>Datos!C200</f>
        <v>150</v>
      </c>
      <c r="D200" s="30">
        <f>Datos!D200</f>
        <v>175</v>
      </c>
      <c r="E200" s="30">
        <f>(B200/600)*'PANEL DE CONTROL'!$C$7</f>
        <v>530</v>
      </c>
      <c r="F200" s="30">
        <f>(C200/150)*'PANEL DE CONTROL'!$C$8</f>
        <v>150</v>
      </c>
      <c r="G200" s="30">
        <f>(D200/250)*'PANEL DE CONTROL'!$C$9</f>
        <v>175</v>
      </c>
      <c r="H200" s="30">
        <f t="shared" si="1"/>
        <v>855</v>
      </c>
      <c r="I200" s="30">
        <f>IF(Datos!K200&gt;30,'PANEL DE CONTROL'!$D$14,0)+IF(Datos!M200&gt;80,'PANEL DE CONTROL'!$D$15,0)</f>
        <v>0</v>
      </c>
      <c r="J200" s="30">
        <f>IF(Datos!L200&lt;10,'PANEL DE CONTROL'!$D$16,0)+IF(Datos!N200&gt;24,'PANEL DE CONTROL'!$D$17,0)</f>
        <v>0</v>
      </c>
      <c r="K200" s="30">
        <f t="shared" si="2"/>
        <v>855</v>
      </c>
      <c r="L200" s="30">
        <f>Datos!G200</f>
        <v>369.21</v>
      </c>
      <c r="M200" s="30">
        <f>IF(Datos!O200="muy_nuevo",'PANEL DE CONTROL'!$C$22,IF(Datos!O200="nuevo",'PANEL DE CONTROL'!$C$23,IF(Datos!O200="intermedio",'PANEL DE CONTROL'!$C$24,IF(Datos!O200="establecido",'PANEL DE CONTROL'!$C$25,'PANEL DE CONTROL'!$C$26))))</f>
        <v>0.6</v>
      </c>
      <c r="N200" s="30">
        <f>IF(Datos!J200&gt;=20,0.1,IF(Datos!J200&lt;5,-0.1,0))</f>
        <v>0.1</v>
      </c>
      <c r="O200" s="30">
        <f t="shared" si="3"/>
        <v>0.7</v>
      </c>
      <c r="P200" s="30">
        <f t="shared" si="4"/>
        <v>709.263</v>
      </c>
      <c r="Q200" s="30" t="str">
        <f>IF(P200&gt;='PANEL DE CONTROL'!$B$30,"A+",IF(P200&gt;='PANEL DE CONTROL'!$B$31,"A",IF(P200&gt;='PANEL DE CONTROL'!$B$32,"A-",IF(P200&gt;='PANEL DE CONTROL'!$B$33,"B+",IF(P200&gt;='PANEL DE CONTROL'!$B$34,"B",IF(P200&gt;='PANEL DE CONTROL'!$B$35,"B-",IF(P200&gt;='PANEL DE CONTROL'!$B$36,"C+",IF(P200&gt;='PANEL DE CONTROL'!$B$37,"C",IF(P200&gt;='PANEL DE CONTROL'!$B$38,"C-",IF(P200&gt;='PANEL DE CONTROL'!$B$39,"D+",IF(P200&gt;='PANEL DE CONTROL'!$B$40,"D","F")))))))))))</f>
        <v>B</v>
      </c>
      <c r="R200" s="30" t="str">
        <f>Datos!I200</f>
        <v>B-</v>
      </c>
      <c r="S200" s="30">
        <f>P200-Datos!H200</f>
        <v>48.573</v>
      </c>
      <c r="T200" s="30" t="str">
        <f t="shared" si="5"/>
        <v>Mejora</v>
      </c>
      <c r="U200" s="30" t="str">
        <f>Datos!O200</f>
        <v>establecido</v>
      </c>
      <c r="V200" s="30" t="str">
        <f>Datos!Q200</f>
        <v>outlier</v>
      </c>
    </row>
    <row r="201" ht="15.75" customHeight="1">
      <c r="A201" s="30">
        <f>Datos!A201</f>
        <v>68748485</v>
      </c>
      <c r="B201" s="30">
        <f>Datos!B201</f>
        <v>100</v>
      </c>
      <c r="C201" s="30">
        <f>Datos!C201</f>
        <v>0</v>
      </c>
      <c r="D201" s="30">
        <f>Datos!D201</f>
        <v>50</v>
      </c>
      <c r="E201" s="30">
        <f>(B201/600)*'PANEL DE CONTROL'!$C$7</f>
        <v>100</v>
      </c>
      <c r="F201" s="30">
        <f>(C201/150)*'PANEL DE CONTROL'!$C$8</f>
        <v>0</v>
      </c>
      <c r="G201" s="30">
        <f>(D201/250)*'PANEL DE CONTROL'!$C$9</f>
        <v>50</v>
      </c>
      <c r="H201" s="30">
        <f t="shared" si="1"/>
        <v>150</v>
      </c>
      <c r="I201" s="30">
        <f>IF(Datos!K201&gt;30,'PANEL DE CONTROL'!$D$14,0)+IF(Datos!M201&gt;80,'PANEL DE CONTROL'!$D$15,0)</f>
        <v>0</v>
      </c>
      <c r="J201" s="30">
        <f>IF(Datos!L201&lt;10,'PANEL DE CONTROL'!$D$16,0)+IF(Datos!N201&gt;24,'PANEL DE CONTROL'!$D$17,0)</f>
        <v>0</v>
      </c>
      <c r="K201" s="30">
        <f t="shared" si="2"/>
        <v>150</v>
      </c>
      <c r="L201" s="30">
        <f>Datos!G201</f>
        <v>894.31</v>
      </c>
      <c r="M201" s="30">
        <f>IF(Datos!O201="muy_nuevo",'PANEL DE CONTROL'!$C$22,IF(Datos!O201="nuevo",'PANEL DE CONTROL'!$C$23,IF(Datos!O201="intermedio",'PANEL DE CONTROL'!$C$24,IF(Datos!O201="establecido",'PANEL DE CONTROL'!$C$25,'PANEL DE CONTROL'!$C$26))))</f>
        <v>0.3</v>
      </c>
      <c r="N201" s="30">
        <f>IF(Datos!J201&gt;=20,0.1,IF(Datos!J201&lt;5,-0.1,0))</f>
        <v>0.1</v>
      </c>
      <c r="O201" s="30">
        <f t="shared" si="3"/>
        <v>0.4</v>
      </c>
      <c r="P201" s="30">
        <f t="shared" si="4"/>
        <v>596.586</v>
      </c>
      <c r="Q201" s="30" t="str">
        <f>IF(P201&gt;='PANEL DE CONTROL'!$B$30,"A+",IF(P201&gt;='PANEL DE CONTROL'!$B$31,"A",IF(P201&gt;='PANEL DE CONTROL'!$B$32,"A-",IF(P201&gt;='PANEL DE CONTROL'!$B$33,"B+",IF(P201&gt;='PANEL DE CONTROL'!$B$34,"B",IF(P201&gt;='PANEL DE CONTROL'!$B$35,"B-",IF(P201&gt;='PANEL DE CONTROL'!$B$36,"C+",IF(P201&gt;='PANEL DE CONTROL'!$B$37,"C",IF(P201&gt;='PANEL DE CONTROL'!$B$38,"C-",IF(P201&gt;='PANEL DE CONTROL'!$B$39,"D+",IF(P201&gt;='PANEL DE CONTROL'!$B$40,"D","F")))))))))))</f>
        <v>C</v>
      </c>
      <c r="R201" s="30" t="str">
        <f>Datos!I201</f>
        <v>B-</v>
      </c>
      <c r="S201" s="30">
        <f>P201-Datos!H201</f>
        <v>-74.434</v>
      </c>
      <c r="T201" s="30" t="str">
        <f t="shared" si="5"/>
        <v>Empeora</v>
      </c>
      <c r="U201" s="30" t="str">
        <f>Datos!O201</f>
        <v>muy_nuevo</v>
      </c>
      <c r="V201" s="30" t="str">
        <f>Datos!Q201</f>
        <v>outlier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11.0"/>
    <col customWidth="1" min="19" max="26" width="8.71"/>
  </cols>
  <sheetData>
    <row r="1" ht="45.0" customHeight="1">
      <c r="A1" s="7" t="s">
        <v>162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3" ht="17.25" customHeight="1">
      <c r="A3" s="8" t="s">
        <v>163</v>
      </c>
      <c r="B3" s="2"/>
      <c r="C3" s="3"/>
      <c r="D3" s="33" t="str">
        <f>'PANEL DE CONTROL'!D3</f>
        <v>Produccion</v>
      </c>
      <c r="E3" s="10"/>
      <c r="F3" s="34"/>
      <c r="G3" s="12" t="s">
        <v>164</v>
      </c>
    </row>
    <row r="5">
      <c r="A5" s="35">
        <f>ROUND(AVERAGE(Datos!H:H),1)</f>
        <v>649</v>
      </c>
      <c r="B5" s="36"/>
      <c r="C5" s="36"/>
      <c r="D5" s="37">
        <f>ROUND(AVERAGE(Simulacion!P:P),1)</f>
        <v>640.2</v>
      </c>
      <c r="E5" s="36"/>
      <c r="F5" s="36"/>
      <c r="G5" s="35">
        <f>ROUND(D5-A5,1)</f>
        <v>-8.8</v>
      </c>
      <c r="H5" s="36"/>
      <c r="I5" s="38">
        <f>COUNTIF(Simulacion!T:T,"Mejora")</f>
        <v>26</v>
      </c>
      <c r="J5" s="39"/>
      <c r="K5" s="40">
        <f>COUNTIF(Simulacion!T:T,"Empeora")</f>
        <v>92</v>
      </c>
      <c r="L5" s="39"/>
      <c r="M5" s="35">
        <f>COUNTIF(Simulacion!T:T,"Igual")</f>
        <v>82</v>
      </c>
      <c r="N5" s="36"/>
      <c r="O5" s="41">
        <f>ROUND(STDEV(Datos!H:H),1)</f>
        <v>170.9</v>
      </c>
      <c r="P5" s="36"/>
      <c r="Q5" s="41">
        <f>ROUND(STDEV(Simulacion!P:P),1)</f>
        <v>179.5</v>
      </c>
      <c r="R5" s="36"/>
    </row>
    <row r="6">
      <c r="A6" s="42"/>
      <c r="D6" s="42"/>
      <c r="G6" s="42"/>
      <c r="I6" s="43"/>
      <c r="J6" s="44"/>
      <c r="K6" s="43"/>
      <c r="L6" s="44"/>
      <c r="M6" s="42"/>
      <c r="O6" s="42"/>
      <c r="Q6" s="42"/>
    </row>
    <row r="7" ht="15.0" customHeight="1">
      <c r="A7" s="21" t="s">
        <v>165</v>
      </c>
      <c r="D7" s="21" t="s">
        <v>166</v>
      </c>
      <c r="G7" s="21" t="s">
        <v>167</v>
      </c>
      <c r="I7" s="21" t="s">
        <v>64</v>
      </c>
      <c r="K7" s="21" t="s">
        <v>65</v>
      </c>
      <c r="M7" s="21" t="s">
        <v>168</v>
      </c>
      <c r="O7" s="21" t="s">
        <v>74</v>
      </c>
      <c r="Q7" s="21" t="s">
        <v>75</v>
      </c>
    </row>
    <row r="9">
      <c r="A9" s="13" t="s">
        <v>169</v>
      </c>
      <c r="B9" s="2"/>
      <c r="C9" s="2"/>
      <c r="D9" s="2"/>
      <c r="E9" s="2"/>
      <c r="F9" s="2"/>
      <c r="G9" s="3"/>
      <c r="I9" s="45" t="s">
        <v>170</v>
      </c>
      <c r="J9" s="45" t="s">
        <v>171</v>
      </c>
      <c r="K9" s="45" t="s">
        <v>172</v>
      </c>
      <c r="L9" s="45" t="s">
        <v>161</v>
      </c>
    </row>
    <row r="10">
      <c r="A10" s="4" t="s">
        <v>88</v>
      </c>
      <c r="B10" s="4" t="s">
        <v>173</v>
      </c>
      <c r="C10" s="4" t="s">
        <v>174</v>
      </c>
      <c r="D10" s="4" t="s">
        <v>160</v>
      </c>
      <c r="E10" s="4" t="s">
        <v>64</v>
      </c>
      <c r="F10" s="4" t="s">
        <v>65</v>
      </c>
      <c r="G10" s="4" t="s">
        <v>175</v>
      </c>
      <c r="I10" s="46">
        <f>Simulacion!L2</f>
        <v>895.92</v>
      </c>
      <c r="J10" s="46">
        <f>Simulacion!K2</f>
        <v>1000</v>
      </c>
      <c r="K10" s="46">
        <f t="shared" ref="K10:K209" si="1">J10-I10</f>
        <v>104.08</v>
      </c>
      <c r="L10" s="30" t="str">
        <f>Simulacion!V2</f>
        <v>excelente</v>
      </c>
    </row>
    <row r="11">
      <c r="A11" s="15" t="s">
        <v>90</v>
      </c>
      <c r="B11" s="15">
        <f>COUNTIF(Datos!I:I,"A+")</f>
        <v>25</v>
      </c>
      <c r="C11" s="15">
        <f>COUNTIF(Simulacion!Q:Q,"A+")</f>
        <v>24</v>
      </c>
      <c r="D11" s="15">
        <f t="shared" ref="D11:D22" si="2">C11-B11</f>
        <v>-1</v>
      </c>
      <c r="E11" s="15">
        <f>COUNTIFS(Simulacion!Q:Q,"A+",Simulacion!T:T,"Mejora")</f>
        <v>14</v>
      </c>
      <c r="F11" s="15">
        <f>COUNTIFS(Simulacion!Q:Q,"A+",Simulacion!T:T,"Empeora")</f>
        <v>0</v>
      </c>
      <c r="G11" s="15">
        <f t="shared" ref="G11:G22" si="3">E11-F11</f>
        <v>14</v>
      </c>
      <c r="I11" s="46">
        <f>Simulacion!L3</f>
        <v>911.75</v>
      </c>
      <c r="J11" s="46">
        <f>Simulacion!K3</f>
        <v>1000</v>
      </c>
      <c r="K11" s="46">
        <f t="shared" si="1"/>
        <v>88.25</v>
      </c>
      <c r="L11" s="30" t="str">
        <f>Simulacion!V3</f>
        <v>excelente</v>
      </c>
    </row>
    <row r="12">
      <c r="A12" s="15" t="s">
        <v>92</v>
      </c>
      <c r="B12" s="15">
        <f>COUNTIF(Datos!I:I,"A")</f>
        <v>6</v>
      </c>
      <c r="C12" s="15">
        <f>COUNTIF(Simulacion!Q:Q,"A")</f>
        <v>8</v>
      </c>
      <c r="D12" s="15">
        <f t="shared" si="2"/>
        <v>2</v>
      </c>
      <c r="E12" s="15">
        <f>COUNTIFS(Simulacion!Q:Q,"A",Simulacion!T:T,"Mejora")</f>
        <v>1</v>
      </c>
      <c r="F12" s="15">
        <f>COUNTIFS(Simulacion!Q:Q,"A",Simulacion!T:T,"Empeora")</f>
        <v>1</v>
      </c>
      <c r="G12" s="15">
        <f t="shared" si="3"/>
        <v>0</v>
      </c>
      <c r="I12" s="46">
        <f>Simulacion!L4</f>
        <v>928.52</v>
      </c>
      <c r="J12" s="46">
        <f>Simulacion!K4</f>
        <v>880</v>
      </c>
      <c r="K12" s="46">
        <f t="shared" si="1"/>
        <v>-48.52</v>
      </c>
      <c r="L12" s="30" t="str">
        <f>Simulacion!V4</f>
        <v>excelente</v>
      </c>
    </row>
    <row r="13">
      <c r="A13" s="15" t="s">
        <v>94</v>
      </c>
      <c r="B13" s="15">
        <f>COUNTIF(Datos!I:I,"A-")</f>
        <v>10</v>
      </c>
      <c r="C13" s="15">
        <f>COUNTIF(Simulacion!Q:Q,"A-")</f>
        <v>9</v>
      </c>
      <c r="D13" s="15">
        <f t="shared" si="2"/>
        <v>-1</v>
      </c>
      <c r="E13" s="15">
        <f>COUNTIFS(Simulacion!Q:Q,"A-",Simulacion!T:T,"Mejora")</f>
        <v>0</v>
      </c>
      <c r="F13" s="15">
        <f>COUNTIFS(Simulacion!Q:Q,"A-",Simulacion!T:T,"Empeora")</f>
        <v>0</v>
      </c>
      <c r="G13" s="15">
        <f t="shared" si="3"/>
        <v>0</v>
      </c>
      <c r="I13" s="46">
        <f>Simulacion!L5</f>
        <v>880.46</v>
      </c>
      <c r="J13" s="46">
        <f>Simulacion!K5</f>
        <v>1000</v>
      </c>
      <c r="K13" s="46">
        <f t="shared" si="1"/>
        <v>119.54</v>
      </c>
      <c r="L13" s="30" t="str">
        <f>Simulacion!V5</f>
        <v>excelente</v>
      </c>
    </row>
    <row r="14">
      <c r="A14" s="15" t="s">
        <v>96</v>
      </c>
      <c r="B14" s="15">
        <f>COUNTIF(Datos!I:I,"B+")</f>
        <v>14</v>
      </c>
      <c r="C14" s="15">
        <f>COUNTIF(Simulacion!Q:Q,"B+")</f>
        <v>13</v>
      </c>
      <c r="D14" s="15">
        <f t="shared" si="2"/>
        <v>-1</v>
      </c>
      <c r="E14" s="15">
        <f>COUNTIFS(Simulacion!Q:Q,"B+",Simulacion!T:T,"Mejora")</f>
        <v>0</v>
      </c>
      <c r="F14" s="15">
        <f>COUNTIFS(Simulacion!Q:Q,"B+",Simulacion!T:T,"Empeora")</f>
        <v>6</v>
      </c>
      <c r="G14" s="15">
        <f t="shared" si="3"/>
        <v>-6</v>
      </c>
      <c r="I14" s="46">
        <f>Simulacion!L6</f>
        <v>916.25</v>
      </c>
      <c r="J14" s="46">
        <f>Simulacion!K6</f>
        <v>930</v>
      </c>
      <c r="K14" s="46">
        <f t="shared" si="1"/>
        <v>13.75</v>
      </c>
      <c r="L14" s="30" t="str">
        <f>Simulacion!V6</f>
        <v>excelente</v>
      </c>
    </row>
    <row r="15">
      <c r="A15" s="15" t="s">
        <v>98</v>
      </c>
      <c r="B15" s="15">
        <f>COUNTIF(Datos!I:I,"B")</f>
        <v>14</v>
      </c>
      <c r="C15" s="15">
        <f>COUNTIF(Simulacion!Q:Q,"B")</f>
        <v>18</v>
      </c>
      <c r="D15" s="15">
        <f t="shared" si="2"/>
        <v>4</v>
      </c>
      <c r="E15" s="15">
        <f>COUNTIFS(Simulacion!Q:Q,"B",Simulacion!T:T,"Mejora")</f>
        <v>5</v>
      </c>
      <c r="F15" s="15">
        <f>COUNTIFS(Simulacion!Q:Q,"B",Simulacion!T:T,"Empeora")</f>
        <v>3</v>
      </c>
      <c r="G15" s="15">
        <f t="shared" si="3"/>
        <v>2</v>
      </c>
      <c r="I15" s="46">
        <f>Simulacion!L7</f>
        <v>909.79</v>
      </c>
      <c r="J15" s="46">
        <f>Simulacion!K7</f>
        <v>880</v>
      </c>
      <c r="K15" s="46">
        <f t="shared" si="1"/>
        <v>-29.79</v>
      </c>
      <c r="L15" s="30" t="str">
        <f>Simulacion!V7</f>
        <v>excelente</v>
      </c>
    </row>
    <row r="16">
      <c r="A16" s="15" t="s">
        <v>100</v>
      </c>
      <c r="B16" s="15">
        <f>COUNTIF(Datos!I:I,"B-")</f>
        <v>19</v>
      </c>
      <c r="C16" s="15">
        <f>COUNTIF(Simulacion!Q:Q,"B-")</f>
        <v>13</v>
      </c>
      <c r="D16" s="15">
        <f t="shared" si="2"/>
        <v>-6</v>
      </c>
      <c r="E16" s="15">
        <f>COUNTIFS(Simulacion!Q:Q,"B-",Simulacion!T:T,"Mejora")</f>
        <v>4</v>
      </c>
      <c r="F16" s="15">
        <f>COUNTIFS(Simulacion!Q:Q,"B-",Simulacion!T:T,"Empeora")</f>
        <v>3</v>
      </c>
      <c r="G16" s="15">
        <f t="shared" si="3"/>
        <v>1</v>
      </c>
      <c r="I16" s="46">
        <f>Simulacion!L8</f>
        <v>885.68</v>
      </c>
      <c r="J16" s="46">
        <f>Simulacion!K8</f>
        <v>1000</v>
      </c>
      <c r="K16" s="46">
        <f t="shared" si="1"/>
        <v>114.32</v>
      </c>
      <c r="L16" s="30" t="str">
        <f>Simulacion!V8</f>
        <v>excelente</v>
      </c>
    </row>
    <row r="17">
      <c r="A17" s="15" t="s">
        <v>102</v>
      </c>
      <c r="B17" s="15">
        <f>COUNTIF(Datos!I:I,"C+")</f>
        <v>27</v>
      </c>
      <c r="C17" s="15">
        <f>COUNTIF(Simulacion!Q:Q,"C+")</f>
        <v>18</v>
      </c>
      <c r="D17" s="15">
        <f t="shared" si="2"/>
        <v>-9</v>
      </c>
      <c r="E17" s="15">
        <f>COUNTIFS(Simulacion!Q:Q,"C+",Simulacion!T:T,"Mejora")</f>
        <v>0</v>
      </c>
      <c r="F17" s="15">
        <f>COUNTIFS(Simulacion!Q:Q,"C+",Simulacion!T:T,"Empeora")</f>
        <v>12</v>
      </c>
      <c r="G17" s="15">
        <f t="shared" si="3"/>
        <v>-12</v>
      </c>
      <c r="I17" s="46">
        <f>Simulacion!L9</f>
        <v>851.41</v>
      </c>
      <c r="J17" s="46">
        <f>Simulacion!K9</f>
        <v>880</v>
      </c>
      <c r="K17" s="46">
        <f t="shared" si="1"/>
        <v>28.59</v>
      </c>
      <c r="L17" s="30" t="str">
        <f>Simulacion!V9</f>
        <v>excelente</v>
      </c>
    </row>
    <row r="18">
      <c r="A18" s="15" t="s">
        <v>104</v>
      </c>
      <c r="B18" s="15">
        <f>COUNTIF(Datos!I:I,"C")</f>
        <v>28</v>
      </c>
      <c r="C18" s="15">
        <f>COUNTIF(Simulacion!Q:Q,"C")</f>
        <v>32</v>
      </c>
      <c r="D18" s="15">
        <f t="shared" si="2"/>
        <v>4</v>
      </c>
      <c r="E18" s="15">
        <f>COUNTIFS(Simulacion!Q:Q,"C",Simulacion!T:T,"Mejora")</f>
        <v>2</v>
      </c>
      <c r="F18" s="15">
        <f>COUNTIFS(Simulacion!Q:Q,"C",Simulacion!T:T,"Empeora")</f>
        <v>23</v>
      </c>
      <c r="G18" s="15">
        <f t="shared" si="3"/>
        <v>-21</v>
      </c>
      <c r="I18" s="46">
        <f>Simulacion!L10</f>
        <v>894.95</v>
      </c>
      <c r="J18" s="46">
        <f>Simulacion!K10</f>
        <v>950</v>
      </c>
      <c r="K18" s="46">
        <f t="shared" si="1"/>
        <v>55.05</v>
      </c>
      <c r="L18" s="30" t="str">
        <f>Simulacion!V10</f>
        <v>excelente</v>
      </c>
    </row>
    <row r="19">
      <c r="A19" s="15" t="s">
        <v>106</v>
      </c>
      <c r="B19" s="15">
        <f>COUNTIF(Datos!I:I,"C-")</f>
        <v>16</v>
      </c>
      <c r="C19" s="15">
        <f>COUNTIF(Simulacion!Q:Q,"C-")</f>
        <v>22</v>
      </c>
      <c r="D19" s="15">
        <f t="shared" si="2"/>
        <v>6</v>
      </c>
      <c r="E19" s="15">
        <f>COUNTIFS(Simulacion!Q:Q,"C-",Simulacion!T:T,"Mejora")</f>
        <v>0</v>
      </c>
      <c r="F19" s="15">
        <f>COUNTIFS(Simulacion!Q:Q,"C-",Simulacion!T:T,"Empeora")</f>
        <v>15</v>
      </c>
      <c r="G19" s="15">
        <f t="shared" si="3"/>
        <v>-15</v>
      </c>
      <c r="I19" s="46">
        <f>Simulacion!L11</f>
        <v>921.32</v>
      </c>
      <c r="J19" s="46">
        <f>Simulacion!K11</f>
        <v>1000</v>
      </c>
      <c r="K19" s="46">
        <f t="shared" si="1"/>
        <v>78.68</v>
      </c>
      <c r="L19" s="30" t="str">
        <f>Simulacion!V11</f>
        <v>excelente</v>
      </c>
    </row>
    <row r="20">
      <c r="A20" s="15" t="s">
        <v>108</v>
      </c>
      <c r="B20" s="15">
        <f>COUNTIF(Datos!I:I,"D+")</f>
        <v>0</v>
      </c>
      <c r="C20" s="15">
        <f>COUNTIF(Simulacion!Q:Q,"D+")</f>
        <v>8</v>
      </c>
      <c r="D20" s="15">
        <f t="shared" si="2"/>
        <v>8</v>
      </c>
      <c r="E20" s="15">
        <f>COUNTIFS(Simulacion!Q:Q,"D+",Simulacion!T:T,"Mejora")</f>
        <v>0</v>
      </c>
      <c r="F20" s="15">
        <f>COUNTIFS(Simulacion!Q:Q,"D+",Simulacion!T:T,"Empeora")</f>
        <v>5</v>
      </c>
      <c r="G20" s="15">
        <f t="shared" si="3"/>
        <v>-5</v>
      </c>
      <c r="I20" s="46">
        <f>Simulacion!L12</f>
        <v>853.14</v>
      </c>
      <c r="J20" s="46">
        <f>Simulacion!K12</f>
        <v>880</v>
      </c>
      <c r="K20" s="46">
        <f t="shared" si="1"/>
        <v>26.86</v>
      </c>
      <c r="L20" s="30" t="str">
        <f>Simulacion!V12</f>
        <v>excelente</v>
      </c>
    </row>
    <row r="21" ht="15.75" customHeight="1">
      <c r="A21" s="15" t="s">
        <v>110</v>
      </c>
      <c r="B21" s="15">
        <f>COUNTIF(Datos!I:I,"D")</f>
        <v>29</v>
      </c>
      <c r="C21" s="15">
        <f>COUNTIF(Simulacion!Q:Q,"D")</f>
        <v>16</v>
      </c>
      <c r="D21" s="15">
        <f t="shared" si="2"/>
        <v>-13</v>
      </c>
      <c r="E21" s="15">
        <f>COUNTIFS(Simulacion!Q:Q,"D",Simulacion!T:T,"Mejora")</f>
        <v>0</v>
      </c>
      <c r="F21" s="15">
        <f>COUNTIFS(Simulacion!Q:Q,"D",Simulacion!T:T,"Empeora")</f>
        <v>9</v>
      </c>
      <c r="G21" s="15">
        <f t="shared" si="3"/>
        <v>-9</v>
      </c>
      <c r="I21" s="46">
        <f>Simulacion!L13</f>
        <v>878.98</v>
      </c>
      <c r="J21" s="46">
        <f>Simulacion!K13</f>
        <v>1000</v>
      </c>
      <c r="K21" s="46">
        <f t="shared" si="1"/>
        <v>121.02</v>
      </c>
      <c r="L21" s="30" t="str">
        <f>Simulacion!V13</f>
        <v>excelente</v>
      </c>
    </row>
    <row r="22" ht="15.75" customHeight="1">
      <c r="A22" s="15" t="s">
        <v>112</v>
      </c>
      <c r="B22" s="15">
        <f>COUNTIF(Datos!I:I,"F")</f>
        <v>12</v>
      </c>
      <c r="C22" s="15">
        <f>COUNTIF(Simulacion!Q:Q,"F")</f>
        <v>19</v>
      </c>
      <c r="D22" s="15">
        <f t="shared" si="2"/>
        <v>7</v>
      </c>
      <c r="E22" s="15">
        <f>COUNTIFS(Simulacion!Q:Q,"F",Simulacion!T:T,"Mejora")</f>
        <v>0</v>
      </c>
      <c r="F22" s="15">
        <f>COUNTIFS(Simulacion!Q:Q,"F",Simulacion!T:T,"Empeora")</f>
        <v>15</v>
      </c>
      <c r="G22" s="15">
        <f t="shared" si="3"/>
        <v>-15</v>
      </c>
      <c r="I22" s="46">
        <f>Simulacion!L14</f>
        <v>903.93</v>
      </c>
      <c r="J22" s="46">
        <f>Simulacion!K14</f>
        <v>950</v>
      </c>
      <c r="K22" s="46">
        <f t="shared" si="1"/>
        <v>46.07</v>
      </c>
      <c r="L22" s="30" t="str">
        <f>Simulacion!V14</f>
        <v>excelente</v>
      </c>
    </row>
    <row r="23" ht="15.75" customHeight="1">
      <c r="A23" s="28" t="s">
        <v>43</v>
      </c>
      <c r="B23" s="15">
        <f t="shared" ref="B23:G23" si="4">SUM(B11:B22)</f>
        <v>200</v>
      </c>
      <c r="C23" s="15">
        <f t="shared" si="4"/>
        <v>200</v>
      </c>
      <c r="D23" s="15">
        <f t="shared" si="4"/>
        <v>0</v>
      </c>
      <c r="E23" s="15">
        <f t="shared" si="4"/>
        <v>26</v>
      </c>
      <c r="F23" s="15">
        <f t="shared" si="4"/>
        <v>92</v>
      </c>
      <c r="G23" s="15">
        <f t="shared" si="4"/>
        <v>-66</v>
      </c>
      <c r="I23" s="46">
        <f>Simulacion!L15</f>
        <v>850.7</v>
      </c>
      <c r="J23" s="46">
        <f>Simulacion!K15</f>
        <v>950</v>
      </c>
      <c r="K23" s="46">
        <f t="shared" si="1"/>
        <v>99.3</v>
      </c>
      <c r="L23" s="30" t="str">
        <f>Simulacion!V15</f>
        <v>excelente</v>
      </c>
    </row>
    <row r="24" ht="15.75" customHeight="1">
      <c r="I24" s="30">
        <f>Simulacion!L16</f>
        <v>920.3</v>
      </c>
      <c r="J24" s="30">
        <f>Simulacion!K16</f>
        <v>950</v>
      </c>
      <c r="K24" s="30">
        <f t="shared" si="1"/>
        <v>29.7</v>
      </c>
      <c r="L24" s="30" t="str">
        <f>Simulacion!V16</f>
        <v>excelente</v>
      </c>
    </row>
    <row r="25" ht="15.75" customHeight="1">
      <c r="A25" s="13" t="s">
        <v>176</v>
      </c>
      <c r="B25" s="2"/>
      <c r="C25" s="2"/>
      <c r="D25" s="2"/>
      <c r="E25" s="2"/>
      <c r="F25" s="3"/>
      <c r="I25" s="46">
        <f>Simulacion!L17</f>
        <v>891.1</v>
      </c>
      <c r="J25" s="46">
        <f>Simulacion!K17</f>
        <v>880</v>
      </c>
      <c r="K25" s="46">
        <f t="shared" si="1"/>
        <v>-11.1</v>
      </c>
      <c r="L25" s="30" t="str">
        <f>Simulacion!V17</f>
        <v>excelente</v>
      </c>
    </row>
    <row r="26" ht="15.75" customHeight="1">
      <c r="A26" s="4" t="s">
        <v>161</v>
      </c>
      <c r="B26" s="4" t="s">
        <v>177</v>
      </c>
      <c r="C26" s="4" t="s">
        <v>178</v>
      </c>
      <c r="D26" s="4" t="s">
        <v>179</v>
      </c>
      <c r="E26" s="4" t="s">
        <v>180</v>
      </c>
      <c r="F26" s="4" t="s">
        <v>181</v>
      </c>
      <c r="I26" s="46">
        <f>Simulacion!L18</f>
        <v>858.09</v>
      </c>
      <c r="J26" s="46">
        <f>Simulacion!K18</f>
        <v>950</v>
      </c>
      <c r="K26" s="46">
        <f t="shared" si="1"/>
        <v>91.91</v>
      </c>
      <c r="L26" s="30" t="str">
        <f>Simulacion!V18</f>
        <v>excelente</v>
      </c>
    </row>
    <row r="27" ht="15.75" customHeight="1">
      <c r="A27" s="15" t="s">
        <v>182</v>
      </c>
      <c r="B27" s="15">
        <f>COUNTIF(Simulacion!V:V,"excelente")</f>
        <v>30</v>
      </c>
      <c r="C27" s="15">
        <f>IFERROR(AVERAGEIF(Simulacion!V:V,"excelente",Datos!H:H),0)</f>
        <v>935.2946667</v>
      </c>
      <c r="D27" s="15">
        <f>IFERROR(AVERAGEIF(Simulacion!V:V,"excelente",Simulacion!P:P),0)</f>
        <v>939.5800667</v>
      </c>
      <c r="E27" s="15">
        <f t="shared" ref="E27:E31" si="5">D27-C27</f>
        <v>4.2854</v>
      </c>
      <c r="F27" s="15">
        <f t="shared" ref="F27:F31" si="6">IFERROR(E27/C27,0)</f>
        <v>0.004581871524</v>
      </c>
      <c r="I27" s="46">
        <f>Simulacion!L19</f>
        <v>865.07</v>
      </c>
      <c r="J27" s="46">
        <f>Simulacion!K19</f>
        <v>1000</v>
      </c>
      <c r="K27" s="46">
        <f t="shared" si="1"/>
        <v>134.93</v>
      </c>
      <c r="L27" s="30" t="str">
        <f>Simulacion!V19</f>
        <v>excelente</v>
      </c>
    </row>
    <row r="28" ht="15.75" customHeight="1">
      <c r="A28" s="15" t="s">
        <v>183</v>
      </c>
      <c r="B28" s="15">
        <f>COUNTIF(Simulacion!V:V,"bueno")</f>
        <v>50</v>
      </c>
      <c r="C28" s="15">
        <f>IFERROR(AVERAGEIF(Simulacion!V:V,"bueno",Datos!H:H),0)</f>
        <v>748.3098</v>
      </c>
      <c r="D28" s="15">
        <f>IFERROR(AVERAGEIF(Simulacion!V:V,"bueno",Simulacion!P:P),0)</f>
        <v>740.98672</v>
      </c>
      <c r="E28" s="15">
        <f t="shared" si="5"/>
        <v>-7.32308</v>
      </c>
      <c r="F28" s="15">
        <f t="shared" si="6"/>
        <v>-0.009786160759</v>
      </c>
      <c r="I28" s="46">
        <f>Simulacion!L20</f>
        <v>859.62</v>
      </c>
      <c r="J28" s="46">
        <f>Simulacion!K20</f>
        <v>930</v>
      </c>
      <c r="K28" s="46">
        <f t="shared" si="1"/>
        <v>70.38</v>
      </c>
      <c r="L28" s="30" t="str">
        <f>Simulacion!V20</f>
        <v>excelente</v>
      </c>
    </row>
    <row r="29" ht="15.75" customHeight="1">
      <c r="A29" s="15" t="s">
        <v>184</v>
      </c>
      <c r="B29" s="15">
        <f>COUNTIF(Simulacion!V:V,"regular")</f>
        <v>60</v>
      </c>
      <c r="C29" s="15">
        <f>IFERROR(AVERAGEIF(Simulacion!V:V,"regular",Datos!H:H),0)</f>
        <v>577.9693333</v>
      </c>
      <c r="D29" s="15">
        <f>IFERROR(AVERAGEIF(Simulacion!V:V,"regular",Simulacion!P:P),0)</f>
        <v>562.5810333</v>
      </c>
      <c r="E29" s="15">
        <f t="shared" si="5"/>
        <v>-15.3883</v>
      </c>
      <c r="F29" s="15">
        <f t="shared" si="6"/>
        <v>-0.02662476902</v>
      </c>
      <c r="I29" s="46">
        <f>Simulacion!L21</f>
        <v>919.58</v>
      </c>
      <c r="J29" s="46">
        <f>Simulacion!K21</f>
        <v>950</v>
      </c>
      <c r="K29" s="46">
        <f t="shared" si="1"/>
        <v>30.42</v>
      </c>
      <c r="L29" s="30" t="str">
        <f>Simulacion!V21</f>
        <v>excelente</v>
      </c>
    </row>
    <row r="30" ht="15.75" customHeight="1">
      <c r="A30" s="15" t="s">
        <v>185</v>
      </c>
      <c r="B30" s="15">
        <f>COUNTIF(Simulacion!V:V,"malo")</f>
        <v>40</v>
      </c>
      <c r="C30" s="15">
        <f>IFERROR(AVERAGEIF(Simulacion!V:V,"malo",Datos!H:H),0)</f>
        <v>416.94625</v>
      </c>
      <c r="D30" s="15">
        <f>IFERROR(AVERAGEIF(Simulacion!V:V,"malo",Simulacion!P:P),0)</f>
        <v>398.532</v>
      </c>
      <c r="E30" s="15">
        <f t="shared" si="5"/>
        <v>-18.41425</v>
      </c>
      <c r="F30" s="15">
        <f t="shared" si="6"/>
        <v>-0.04416456558</v>
      </c>
      <c r="I30" s="46">
        <f>Simulacion!L22</f>
        <v>938.26</v>
      </c>
      <c r="J30" s="46">
        <f>Simulacion!K22</f>
        <v>1000</v>
      </c>
      <c r="K30" s="46">
        <f t="shared" si="1"/>
        <v>61.74</v>
      </c>
      <c r="L30" s="30" t="str">
        <f>Simulacion!V22</f>
        <v>excelente</v>
      </c>
    </row>
    <row r="31" ht="15.75" customHeight="1">
      <c r="A31" s="15" t="s">
        <v>186</v>
      </c>
      <c r="B31" s="15">
        <f>COUNTIF(Simulacion!V:V,"outlier")</f>
        <v>20</v>
      </c>
      <c r="C31" s="15">
        <f>IFERROR(AVERAGEIF(Simulacion!V:V,"outlier",Datos!H:H),0)</f>
        <v>648.763</v>
      </c>
      <c r="D31" s="15">
        <f>IFERROR(AVERAGEIF(Simulacion!V:V,"outlier",Simulacion!P:P),0)</f>
        <v>655.25935</v>
      </c>
      <c r="E31" s="15">
        <f t="shared" si="5"/>
        <v>6.49635</v>
      </c>
      <c r="F31" s="15">
        <f t="shared" si="6"/>
        <v>0.01001344096</v>
      </c>
      <c r="I31" s="46">
        <f>Simulacion!L23</f>
        <v>943.56</v>
      </c>
      <c r="J31" s="46">
        <f>Simulacion!K23</f>
        <v>1000</v>
      </c>
      <c r="K31" s="46">
        <f t="shared" si="1"/>
        <v>56.44</v>
      </c>
      <c r="L31" s="30" t="str">
        <f>Simulacion!V23</f>
        <v>excelente</v>
      </c>
    </row>
    <row r="32" ht="15.75" customHeight="1">
      <c r="I32" s="30">
        <f>Simulacion!L24</f>
        <v>898.56</v>
      </c>
      <c r="J32" s="30">
        <f>Simulacion!K24</f>
        <v>950</v>
      </c>
      <c r="K32" s="30">
        <f t="shared" si="1"/>
        <v>51.44</v>
      </c>
      <c r="L32" s="30" t="str">
        <f>Simulacion!V24</f>
        <v>excelente</v>
      </c>
    </row>
    <row r="33" ht="15.75" customHeight="1">
      <c r="A33" s="13" t="s">
        <v>187</v>
      </c>
      <c r="B33" s="2"/>
      <c r="C33" s="2"/>
      <c r="D33" s="2"/>
      <c r="E33" s="2"/>
      <c r="F33" s="3"/>
      <c r="I33" s="46">
        <f>Simulacion!L25</f>
        <v>915.76</v>
      </c>
      <c r="J33" s="46">
        <f>Simulacion!K25</f>
        <v>930</v>
      </c>
      <c r="K33" s="46">
        <f t="shared" si="1"/>
        <v>14.24</v>
      </c>
      <c r="L33" s="30" t="str">
        <f>Simulacion!V25</f>
        <v>excelente</v>
      </c>
    </row>
    <row r="34" ht="15.75" customHeight="1">
      <c r="A34" s="4" t="s">
        <v>68</v>
      </c>
      <c r="B34" s="4" t="s">
        <v>177</v>
      </c>
      <c r="C34" s="4" t="s">
        <v>178</v>
      </c>
      <c r="D34" s="4" t="s">
        <v>179</v>
      </c>
      <c r="E34" s="4" t="s">
        <v>180</v>
      </c>
      <c r="F34" s="4" t="s">
        <v>70</v>
      </c>
      <c r="I34" s="46">
        <f>Simulacion!L26</f>
        <v>913.11</v>
      </c>
      <c r="J34" s="46">
        <f>Simulacion!K26</f>
        <v>950</v>
      </c>
      <c r="K34" s="46">
        <f t="shared" si="1"/>
        <v>36.89</v>
      </c>
      <c r="L34" s="30" t="str">
        <f>Simulacion!V26</f>
        <v>excelente</v>
      </c>
    </row>
    <row r="35" ht="15.75" customHeight="1">
      <c r="A35" s="15" t="s">
        <v>139</v>
      </c>
      <c r="B35" s="15">
        <f>COUNTIF(Simulacion!U:U,"muy_nuevo")</f>
        <v>32</v>
      </c>
      <c r="C35" s="15">
        <f>IFERROR(AVERAGEIF(Simulacion!U:U,"muy_nuevo",Datos!H:H),0)</f>
        <v>477.3528125</v>
      </c>
      <c r="D35" s="15">
        <f>IFERROR(AVERAGEIF(Simulacion!U:U,"muy_nuevo",Simulacion!P:P),0)</f>
        <v>452.2748438</v>
      </c>
      <c r="E35" s="15">
        <f t="shared" ref="E35:E39" si="7">D35-C35</f>
        <v>-25.07796875</v>
      </c>
      <c r="F35" s="15">
        <f>IFERROR(AVERAGEIF(Simulacion!U:U,"muy_nuevo",Simulacion!O:O),0)</f>
        <v>0.36875</v>
      </c>
      <c r="I35" s="46">
        <f>Simulacion!L27</f>
        <v>914.55</v>
      </c>
      <c r="J35" s="46">
        <f>Simulacion!K27</f>
        <v>1000</v>
      </c>
      <c r="K35" s="46">
        <f t="shared" si="1"/>
        <v>85.45</v>
      </c>
      <c r="L35" s="30" t="str">
        <f>Simulacion!V27</f>
        <v>excelente</v>
      </c>
    </row>
    <row r="36" ht="15.75" customHeight="1">
      <c r="A36" s="15" t="s">
        <v>137</v>
      </c>
      <c r="B36" s="15">
        <f>COUNTIF(Simulacion!U:U,"nuevo")</f>
        <v>52</v>
      </c>
      <c r="C36" s="15">
        <f>IFERROR(AVERAGEIF(Simulacion!U:U,"nuevo",Datos!H:H),0)</f>
        <v>535.4734615</v>
      </c>
      <c r="D36" s="15">
        <f>IFERROR(AVERAGEIF(Simulacion!U:U,"nuevo",Simulacion!P:P),0)</f>
        <v>518.9613654</v>
      </c>
      <c r="E36" s="15">
        <f t="shared" si="7"/>
        <v>-16.51209615</v>
      </c>
      <c r="F36" s="15">
        <f>IFERROR(AVERAGEIF(Simulacion!U:U,"nuevo",Simulacion!O:O),0)</f>
        <v>0.4653846154</v>
      </c>
      <c r="I36" s="46">
        <f>Simulacion!L28</f>
        <v>946.67</v>
      </c>
      <c r="J36" s="46">
        <f>Simulacion!K28</f>
        <v>1000</v>
      </c>
      <c r="K36" s="46">
        <f t="shared" si="1"/>
        <v>53.33</v>
      </c>
      <c r="L36" s="30" t="str">
        <f>Simulacion!V28</f>
        <v>excelente</v>
      </c>
    </row>
    <row r="37" ht="15.75" customHeight="1">
      <c r="A37" s="15" t="s">
        <v>134</v>
      </c>
      <c r="B37" s="15">
        <f>COUNTIF(Simulacion!U:U,"intermedio")</f>
        <v>51</v>
      </c>
      <c r="C37" s="15">
        <f>IFERROR(AVERAGEIF(Simulacion!U:U,"intermedio",Datos!H:H),0)</f>
        <v>653.7247059</v>
      </c>
      <c r="D37" s="15">
        <f>IFERROR(AVERAGEIF(Simulacion!U:U,"intermedio",Simulacion!P:P),0)</f>
        <v>646.5681373</v>
      </c>
      <c r="E37" s="15">
        <f t="shared" si="7"/>
        <v>-7.156568627</v>
      </c>
      <c r="F37" s="15">
        <f>IFERROR(AVERAGEIF(Simulacion!U:U,"intermedio",Simulacion!O:O),0)</f>
        <v>0.5607843137</v>
      </c>
      <c r="I37" s="46">
        <f>Simulacion!L29</f>
        <v>943.62</v>
      </c>
      <c r="J37" s="46">
        <f>Simulacion!K29</f>
        <v>880</v>
      </c>
      <c r="K37" s="46">
        <f t="shared" si="1"/>
        <v>-63.62</v>
      </c>
      <c r="L37" s="30" t="str">
        <f>Simulacion!V29</f>
        <v>excelente</v>
      </c>
    </row>
    <row r="38" ht="15.75" customHeight="1">
      <c r="A38" s="15" t="s">
        <v>133</v>
      </c>
      <c r="B38" s="15">
        <f>COUNTIF(Simulacion!U:U,"establecido")</f>
        <v>46</v>
      </c>
      <c r="C38" s="15">
        <f>IFERROR(AVERAGEIF(Simulacion!U:U,"establecido",Datos!H:H),0)</f>
        <v>772.5902174</v>
      </c>
      <c r="D38" s="15">
        <f>IFERROR(AVERAGEIF(Simulacion!U:U,"establecido",Simulacion!P:P),0)</f>
        <v>776.283913</v>
      </c>
      <c r="E38" s="15">
        <f t="shared" si="7"/>
        <v>3.693695652</v>
      </c>
      <c r="F38" s="15">
        <f>IFERROR(AVERAGEIF(Simulacion!U:U,"establecido",Simulacion!O:O),0)</f>
        <v>0.6760869565</v>
      </c>
      <c r="I38" s="46">
        <f>Simulacion!L30</f>
        <v>924.08</v>
      </c>
      <c r="J38" s="46">
        <f>Simulacion!K30</f>
        <v>930</v>
      </c>
      <c r="K38" s="46">
        <f t="shared" si="1"/>
        <v>5.92</v>
      </c>
      <c r="L38" s="30" t="str">
        <f>Simulacion!V30</f>
        <v>excelente</v>
      </c>
    </row>
    <row r="39" ht="15.75" customHeight="1">
      <c r="A39" s="15" t="s">
        <v>131</v>
      </c>
      <c r="B39" s="15">
        <f>COUNTIF(Simulacion!U:U,"maduro")</f>
        <v>19</v>
      </c>
      <c r="C39" s="15">
        <f>IFERROR(AVERAGEIF(Simulacion!U:U,"maduro",Datos!H:H),0)</f>
        <v>937.1884211</v>
      </c>
      <c r="D39" s="15">
        <f>IFERROR(AVERAGEIF(Simulacion!U:U,"maduro",Simulacion!P:P),0)</f>
        <v>941.8550526</v>
      </c>
      <c r="E39" s="15">
        <f t="shared" si="7"/>
        <v>4.666631579</v>
      </c>
      <c r="F39" s="15">
        <f>IFERROR(AVERAGEIF(Simulacion!U:U,"maduro",Simulacion!O:O),0)</f>
        <v>0.7631578947</v>
      </c>
      <c r="I39" s="46">
        <f>Simulacion!L31</f>
        <v>901.13</v>
      </c>
      <c r="J39" s="46">
        <f>Simulacion!K31</f>
        <v>950</v>
      </c>
      <c r="K39" s="46">
        <f t="shared" si="1"/>
        <v>48.87</v>
      </c>
      <c r="L39" s="30" t="str">
        <f>Simulacion!V31</f>
        <v>excelente</v>
      </c>
    </row>
    <row r="40" ht="15.75" customHeight="1">
      <c r="I40" s="30">
        <f>Simulacion!L32</f>
        <v>759.4</v>
      </c>
      <c r="J40" s="30">
        <f>Simulacion!K32</f>
        <v>525</v>
      </c>
      <c r="K40" s="30">
        <f t="shared" si="1"/>
        <v>-234.4</v>
      </c>
      <c r="L40" s="30" t="str">
        <f>Simulacion!V32</f>
        <v>bueno</v>
      </c>
    </row>
    <row r="41" ht="15.75" customHeight="1">
      <c r="A41" s="13" t="s">
        <v>188</v>
      </c>
      <c r="B41" s="2"/>
      <c r="C41" s="3"/>
      <c r="I41" s="46">
        <f>Simulacion!L33</f>
        <v>832.26</v>
      </c>
      <c r="J41" s="46">
        <f>Simulacion!K33</f>
        <v>750</v>
      </c>
      <c r="K41" s="46">
        <f t="shared" si="1"/>
        <v>-82.26</v>
      </c>
      <c r="L41" s="30" t="str">
        <f>Simulacion!V33</f>
        <v>bueno</v>
      </c>
    </row>
    <row r="42" ht="15.75" customHeight="1">
      <c r="A42" s="32" t="s">
        <v>189</v>
      </c>
      <c r="B42" s="32" t="s">
        <v>177</v>
      </c>
      <c r="C42" s="32" t="s">
        <v>190</v>
      </c>
      <c r="I42" s="46">
        <f>Simulacion!L34</f>
        <v>804.06</v>
      </c>
      <c r="J42" s="46">
        <f>Simulacion!K34</f>
        <v>725</v>
      </c>
      <c r="K42" s="46">
        <f t="shared" si="1"/>
        <v>-79.06</v>
      </c>
      <c r="L42" s="30" t="str">
        <f>Simulacion!V34</f>
        <v>bueno</v>
      </c>
    </row>
    <row r="43" ht="15.75" customHeight="1">
      <c r="A43" s="15" t="s">
        <v>191</v>
      </c>
      <c r="B43" s="15">
        <f>COUNTIF(Simulacion!S:S,"&gt;50")</f>
        <v>0</v>
      </c>
      <c r="C43" s="15">
        <f t="shared" ref="C43:C47" si="8">B43/200</f>
        <v>0</v>
      </c>
      <c r="I43" s="46">
        <f>Simulacion!L35</f>
        <v>775.09</v>
      </c>
      <c r="J43" s="46">
        <f>Simulacion!K35</f>
        <v>805</v>
      </c>
      <c r="K43" s="46">
        <f t="shared" si="1"/>
        <v>29.91</v>
      </c>
      <c r="L43" s="30" t="str">
        <f>Simulacion!V35</f>
        <v>bueno</v>
      </c>
    </row>
    <row r="44" ht="15.75" customHeight="1">
      <c r="A44" s="15" t="s">
        <v>192</v>
      </c>
      <c r="B44" s="15">
        <f>COUNTIFS(Simulacion!S:S,"&gt;10",Simulacion!S:S,"&lt;=50")</f>
        <v>15</v>
      </c>
      <c r="C44" s="15">
        <f t="shared" si="8"/>
        <v>0.075</v>
      </c>
      <c r="I44" s="46">
        <f>Simulacion!L36</f>
        <v>821.46</v>
      </c>
      <c r="J44" s="46">
        <f>Simulacion!K36</f>
        <v>725</v>
      </c>
      <c r="K44" s="46">
        <f t="shared" si="1"/>
        <v>-96.46</v>
      </c>
      <c r="L44" s="30" t="str">
        <f>Simulacion!V36</f>
        <v>bueno</v>
      </c>
    </row>
    <row r="45" ht="15.75" customHeight="1">
      <c r="A45" s="15" t="s">
        <v>193</v>
      </c>
      <c r="B45" s="15">
        <f>COUNTIFS(Simulacion!S:S,"&gt;=-10",Simulacion!S:S,"&lt;=10")</f>
        <v>103</v>
      </c>
      <c r="C45" s="15">
        <f t="shared" si="8"/>
        <v>0.515</v>
      </c>
      <c r="I45" s="46">
        <f>Simulacion!L37</f>
        <v>825.78</v>
      </c>
      <c r="J45" s="46">
        <f>Simulacion!K37</f>
        <v>880</v>
      </c>
      <c r="K45" s="46">
        <f t="shared" si="1"/>
        <v>54.22</v>
      </c>
      <c r="L45" s="30" t="str">
        <f>Simulacion!V37</f>
        <v>bueno</v>
      </c>
    </row>
    <row r="46" ht="15.75" customHeight="1">
      <c r="A46" s="15" t="s">
        <v>194</v>
      </c>
      <c r="B46" s="15">
        <f>COUNTIFS(Simulacion!S:S,"&gt;=-50",Simulacion!S:S,"&lt;-10")</f>
        <v>77</v>
      </c>
      <c r="C46" s="15">
        <f t="shared" si="8"/>
        <v>0.385</v>
      </c>
      <c r="I46" s="46">
        <f>Simulacion!L38</f>
        <v>799.16</v>
      </c>
      <c r="J46" s="46">
        <f>Simulacion!K38</f>
        <v>525</v>
      </c>
      <c r="K46" s="46">
        <f t="shared" si="1"/>
        <v>-274.16</v>
      </c>
      <c r="L46" s="30" t="str">
        <f>Simulacion!V38</f>
        <v>bueno</v>
      </c>
    </row>
    <row r="47" ht="15.75" customHeight="1">
      <c r="A47" s="15" t="s">
        <v>195</v>
      </c>
      <c r="B47" s="15">
        <f>COUNTIF(Simulacion!S:S,"&lt;-50")</f>
        <v>5</v>
      </c>
      <c r="C47" s="15">
        <f t="shared" si="8"/>
        <v>0.025</v>
      </c>
      <c r="I47" s="46">
        <f>Simulacion!L39</f>
        <v>812.59</v>
      </c>
      <c r="J47" s="46">
        <f>Simulacion!K39</f>
        <v>725</v>
      </c>
      <c r="K47" s="46">
        <f t="shared" si="1"/>
        <v>-87.59</v>
      </c>
      <c r="L47" s="30" t="str">
        <f>Simulacion!V39</f>
        <v>bueno</v>
      </c>
    </row>
    <row r="48" ht="15.75" customHeight="1">
      <c r="I48" s="30">
        <f>Simulacion!L40</f>
        <v>830.09</v>
      </c>
      <c r="J48" s="30">
        <f>Simulacion!K40</f>
        <v>800</v>
      </c>
      <c r="K48" s="30">
        <f t="shared" si="1"/>
        <v>-30.09</v>
      </c>
      <c r="L48" s="30" t="str">
        <f>Simulacion!V40</f>
        <v>bueno</v>
      </c>
    </row>
    <row r="49" ht="15.75" customHeight="1">
      <c r="I49" s="30">
        <f>Simulacion!L41</f>
        <v>770.67</v>
      </c>
      <c r="J49" s="30">
        <f>Simulacion!K41</f>
        <v>800</v>
      </c>
      <c r="K49" s="30">
        <f t="shared" si="1"/>
        <v>29.33</v>
      </c>
      <c r="L49" s="30" t="str">
        <f>Simulacion!V41</f>
        <v>bueno</v>
      </c>
    </row>
    <row r="50" ht="15.75" customHeight="1">
      <c r="I50" s="30">
        <f>Simulacion!L42</f>
        <v>818.16</v>
      </c>
      <c r="J50" s="30">
        <f>Simulacion!K42</f>
        <v>525</v>
      </c>
      <c r="K50" s="30">
        <f t="shared" si="1"/>
        <v>-293.16</v>
      </c>
      <c r="L50" s="30" t="str">
        <f>Simulacion!V42</f>
        <v>bueno</v>
      </c>
    </row>
    <row r="51" ht="15.75" customHeight="1">
      <c r="I51" s="30">
        <f>Simulacion!L43</f>
        <v>778.2</v>
      </c>
      <c r="J51" s="30">
        <f>Simulacion!K43</f>
        <v>725</v>
      </c>
      <c r="K51" s="30">
        <f t="shared" si="1"/>
        <v>-53.2</v>
      </c>
      <c r="L51" s="30" t="str">
        <f>Simulacion!V43</f>
        <v>bueno</v>
      </c>
    </row>
    <row r="52" ht="15.75" customHeight="1">
      <c r="I52" s="30">
        <f>Simulacion!L44</f>
        <v>843.08</v>
      </c>
      <c r="J52" s="30">
        <f>Simulacion!K44</f>
        <v>800</v>
      </c>
      <c r="K52" s="30">
        <f t="shared" si="1"/>
        <v>-43.08</v>
      </c>
      <c r="L52" s="30" t="str">
        <f>Simulacion!V44</f>
        <v>bueno</v>
      </c>
    </row>
    <row r="53" ht="15.75" customHeight="1">
      <c r="I53" s="30">
        <f>Simulacion!L45</f>
        <v>839.55</v>
      </c>
      <c r="J53" s="30">
        <f>Simulacion!K45</f>
        <v>675</v>
      </c>
      <c r="K53" s="30">
        <f t="shared" si="1"/>
        <v>-164.55</v>
      </c>
      <c r="L53" s="30" t="str">
        <f>Simulacion!V45</f>
        <v>bueno</v>
      </c>
    </row>
    <row r="54" ht="15.75" customHeight="1">
      <c r="I54" s="30">
        <f>Simulacion!L46</f>
        <v>813.18</v>
      </c>
      <c r="J54" s="30">
        <f>Simulacion!K46</f>
        <v>805</v>
      </c>
      <c r="K54" s="30">
        <f t="shared" si="1"/>
        <v>-8.18</v>
      </c>
      <c r="L54" s="30" t="str">
        <f>Simulacion!V46</f>
        <v>bueno</v>
      </c>
    </row>
    <row r="55" ht="15.75" customHeight="1">
      <c r="I55" s="30">
        <f>Simulacion!L47</f>
        <v>799.44</v>
      </c>
      <c r="J55" s="30">
        <f>Simulacion!K47</f>
        <v>725</v>
      </c>
      <c r="K55" s="30">
        <f t="shared" si="1"/>
        <v>-74.44</v>
      </c>
      <c r="L55" s="30" t="str">
        <f>Simulacion!V47</f>
        <v>bueno</v>
      </c>
    </row>
    <row r="56" ht="15.75" customHeight="1">
      <c r="I56" s="30">
        <f>Simulacion!L48</f>
        <v>811.82</v>
      </c>
      <c r="J56" s="30">
        <f>Simulacion!K48</f>
        <v>650</v>
      </c>
      <c r="K56" s="30">
        <f t="shared" si="1"/>
        <v>-161.82</v>
      </c>
      <c r="L56" s="30" t="str">
        <f>Simulacion!V48</f>
        <v>bueno</v>
      </c>
    </row>
    <row r="57" ht="15.75" customHeight="1">
      <c r="I57" s="30">
        <f>Simulacion!L49</f>
        <v>848.66</v>
      </c>
      <c r="J57" s="30">
        <f>Simulacion!K49</f>
        <v>675</v>
      </c>
      <c r="K57" s="30">
        <f t="shared" si="1"/>
        <v>-173.66</v>
      </c>
      <c r="L57" s="30" t="str">
        <f>Simulacion!V49</f>
        <v>bueno</v>
      </c>
    </row>
    <row r="58" ht="15.75" customHeight="1">
      <c r="I58" s="30">
        <f>Simulacion!L50</f>
        <v>827.71</v>
      </c>
      <c r="J58" s="30">
        <f>Simulacion!K50</f>
        <v>830</v>
      </c>
      <c r="K58" s="30">
        <f t="shared" si="1"/>
        <v>2.29</v>
      </c>
      <c r="L58" s="30" t="str">
        <f>Simulacion!V50</f>
        <v>bueno</v>
      </c>
    </row>
    <row r="59" ht="15.75" customHeight="1">
      <c r="I59" s="30">
        <f>Simulacion!L51</f>
        <v>832.28</v>
      </c>
      <c r="J59" s="30">
        <f>Simulacion!K51</f>
        <v>575</v>
      </c>
      <c r="K59" s="30">
        <f t="shared" si="1"/>
        <v>-257.28</v>
      </c>
      <c r="L59" s="30" t="str">
        <f>Simulacion!V51</f>
        <v>bueno</v>
      </c>
    </row>
    <row r="60" ht="15.75" customHeight="1">
      <c r="I60" s="30">
        <f>Simulacion!L52</f>
        <v>830.21</v>
      </c>
      <c r="J60" s="30">
        <f>Simulacion!K52</f>
        <v>725</v>
      </c>
      <c r="K60" s="30">
        <f t="shared" si="1"/>
        <v>-105.21</v>
      </c>
      <c r="L60" s="30" t="str">
        <f>Simulacion!V52</f>
        <v>bueno</v>
      </c>
    </row>
    <row r="61" ht="15.75" customHeight="1">
      <c r="I61" s="30">
        <f>Simulacion!L53</f>
        <v>802.31</v>
      </c>
      <c r="J61" s="30">
        <f>Simulacion!K53</f>
        <v>650</v>
      </c>
      <c r="K61" s="30">
        <f t="shared" si="1"/>
        <v>-152.31</v>
      </c>
      <c r="L61" s="30" t="str">
        <f>Simulacion!V53</f>
        <v>bueno</v>
      </c>
    </row>
    <row r="62" ht="15.75" customHeight="1">
      <c r="I62" s="30">
        <f>Simulacion!L54</f>
        <v>845.04</v>
      </c>
      <c r="J62" s="30">
        <f>Simulacion!K54</f>
        <v>650</v>
      </c>
      <c r="K62" s="30">
        <f t="shared" si="1"/>
        <v>-195.04</v>
      </c>
      <c r="L62" s="30" t="str">
        <f>Simulacion!V54</f>
        <v>bueno</v>
      </c>
    </row>
    <row r="63" ht="15.75" customHeight="1">
      <c r="I63" s="30">
        <f>Simulacion!L55</f>
        <v>847.44</v>
      </c>
      <c r="J63" s="30">
        <f>Simulacion!K55</f>
        <v>575</v>
      </c>
      <c r="K63" s="30">
        <f t="shared" si="1"/>
        <v>-272.44</v>
      </c>
      <c r="L63" s="30" t="str">
        <f>Simulacion!V55</f>
        <v>bueno</v>
      </c>
    </row>
    <row r="64" ht="15.75" customHeight="1">
      <c r="I64" s="30">
        <f>Simulacion!L56</f>
        <v>844.98</v>
      </c>
      <c r="J64" s="30">
        <f>Simulacion!K56</f>
        <v>650</v>
      </c>
      <c r="K64" s="30">
        <f t="shared" si="1"/>
        <v>-194.98</v>
      </c>
      <c r="L64" s="30" t="str">
        <f>Simulacion!V56</f>
        <v>bueno</v>
      </c>
    </row>
    <row r="65" ht="15.75" customHeight="1">
      <c r="I65" s="30">
        <f>Simulacion!L57</f>
        <v>798.04</v>
      </c>
      <c r="J65" s="30">
        <f>Simulacion!K57</f>
        <v>800</v>
      </c>
      <c r="K65" s="30">
        <f t="shared" si="1"/>
        <v>1.96</v>
      </c>
      <c r="L65" s="30" t="str">
        <f>Simulacion!V57</f>
        <v>bueno</v>
      </c>
    </row>
    <row r="66" ht="15.75" customHeight="1">
      <c r="I66" s="30">
        <f>Simulacion!L58</f>
        <v>763.39</v>
      </c>
      <c r="J66" s="30">
        <f>Simulacion!K58</f>
        <v>800</v>
      </c>
      <c r="K66" s="30">
        <f t="shared" si="1"/>
        <v>36.61</v>
      </c>
      <c r="L66" s="30" t="str">
        <f>Simulacion!V58</f>
        <v>bueno</v>
      </c>
    </row>
    <row r="67" ht="15.75" customHeight="1">
      <c r="I67" s="30">
        <f>Simulacion!L59</f>
        <v>834.96</v>
      </c>
      <c r="J67" s="30">
        <f>Simulacion!K59</f>
        <v>800</v>
      </c>
      <c r="K67" s="30">
        <f t="shared" si="1"/>
        <v>-34.96</v>
      </c>
      <c r="L67" s="30" t="str">
        <f>Simulacion!V59</f>
        <v>bueno</v>
      </c>
    </row>
    <row r="68" ht="15.75" customHeight="1">
      <c r="I68" s="30">
        <f>Simulacion!L60</f>
        <v>785.82</v>
      </c>
      <c r="J68" s="30">
        <f>Simulacion!K60</f>
        <v>525</v>
      </c>
      <c r="K68" s="30">
        <f t="shared" si="1"/>
        <v>-260.82</v>
      </c>
      <c r="L68" s="30" t="str">
        <f>Simulacion!V60</f>
        <v>bueno</v>
      </c>
    </row>
    <row r="69" ht="15.75" customHeight="1">
      <c r="I69" s="30">
        <f>Simulacion!L61</f>
        <v>837.67</v>
      </c>
      <c r="J69" s="30">
        <f>Simulacion!K61</f>
        <v>800</v>
      </c>
      <c r="K69" s="30">
        <f t="shared" si="1"/>
        <v>-37.67</v>
      </c>
      <c r="L69" s="30" t="str">
        <f>Simulacion!V61</f>
        <v>bueno</v>
      </c>
    </row>
    <row r="70" ht="15.75" customHeight="1">
      <c r="I70" s="30">
        <f>Simulacion!L62</f>
        <v>810.81</v>
      </c>
      <c r="J70" s="30">
        <f>Simulacion!K62</f>
        <v>800</v>
      </c>
      <c r="K70" s="30">
        <f t="shared" si="1"/>
        <v>-10.81</v>
      </c>
      <c r="L70" s="30" t="str">
        <f>Simulacion!V62</f>
        <v>bueno</v>
      </c>
    </row>
    <row r="71" ht="15.75" customHeight="1">
      <c r="I71" s="30">
        <f>Simulacion!L63</f>
        <v>802.36</v>
      </c>
      <c r="J71" s="30">
        <f>Simulacion!K63</f>
        <v>725</v>
      </c>
      <c r="K71" s="30">
        <f t="shared" si="1"/>
        <v>-77.36</v>
      </c>
      <c r="L71" s="30" t="str">
        <f>Simulacion!V63</f>
        <v>bueno</v>
      </c>
    </row>
    <row r="72" ht="15.75" customHeight="1">
      <c r="I72" s="30">
        <f>Simulacion!L64</f>
        <v>784.74</v>
      </c>
      <c r="J72" s="30">
        <f>Simulacion!K64</f>
        <v>575</v>
      </c>
      <c r="K72" s="30">
        <f t="shared" si="1"/>
        <v>-209.74</v>
      </c>
      <c r="L72" s="30" t="str">
        <f>Simulacion!V64</f>
        <v>bueno</v>
      </c>
    </row>
    <row r="73" ht="15.75" customHeight="1">
      <c r="I73" s="30">
        <f>Simulacion!L65</f>
        <v>839.68</v>
      </c>
      <c r="J73" s="30">
        <f>Simulacion!K65</f>
        <v>525</v>
      </c>
      <c r="K73" s="30">
        <f t="shared" si="1"/>
        <v>-314.68</v>
      </c>
      <c r="L73" s="30" t="str">
        <f>Simulacion!V65</f>
        <v>bueno</v>
      </c>
    </row>
    <row r="74" ht="15.75" customHeight="1">
      <c r="I74" s="30">
        <f>Simulacion!L66</f>
        <v>758.87</v>
      </c>
      <c r="J74" s="30">
        <f>Simulacion!K66</f>
        <v>805</v>
      </c>
      <c r="K74" s="30">
        <f t="shared" si="1"/>
        <v>46.13</v>
      </c>
      <c r="L74" s="30" t="str">
        <f>Simulacion!V66</f>
        <v>bueno</v>
      </c>
    </row>
    <row r="75" ht="15.75" customHeight="1">
      <c r="I75" s="30">
        <f>Simulacion!L67</f>
        <v>812.79</v>
      </c>
      <c r="J75" s="30">
        <f>Simulacion!K67</f>
        <v>725</v>
      </c>
      <c r="K75" s="30">
        <f t="shared" si="1"/>
        <v>-87.79</v>
      </c>
      <c r="L75" s="30" t="str">
        <f>Simulacion!V67</f>
        <v>bueno</v>
      </c>
    </row>
    <row r="76" ht="15.75" customHeight="1">
      <c r="I76" s="30">
        <f>Simulacion!L68</f>
        <v>803.66</v>
      </c>
      <c r="J76" s="30">
        <f>Simulacion!K68</f>
        <v>575</v>
      </c>
      <c r="K76" s="30">
        <f t="shared" si="1"/>
        <v>-228.66</v>
      </c>
      <c r="L76" s="30" t="str">
        <f>Simulacion!V68</f>
        <v>bueno</v>
      </c>
    </row>
    <row r="77" ht="15.75" customHeight="1">
      <c r="I77" s="30">
        <f>Simulacion!L69</f>
        <v>818.72</v>
      </c>
      <c r="J77" s="30">
        <f>Simulacion!K69</f>
        <v>725</v>
      </c>
      <c r="K77" s="30">
        <f t="shared" si="1"/>
        <v>-93.72</v>
      </c>
      <c r="L77" s="30" t="str">
        <f>Simulacion!V69</f>
        <v>bueno</v>
      </c>
    </row>
    <row r="78" ht="15.75" customHeight="1">
      <c r="I78" s="30">
        <f>Simulacion!L70</f>
        <v>768.23</v>
      </c>
      <c r="J78" s="30">
        <f>Simulacion!K70</f>
        <v>675</v>
      </c>
      <c r="K78" s="30">
        <f t="shared" si="1"/>
        <v>-93.23</v>
      </c>
      <c r="L78" s="30" t="str">
        <f>Simulacion!V70</f>
        <v>bueno</v>
      </c>
    </row>
    <row r="79" ht="15.75" customHeight="1">
      <c r="I79" s="30">
        <f>Simulacion!L71</f>
        <v>814.88</v>
      </c>
      <c r="J79" s="30">
        <f>Simulacion!K71</f>
        <v>575</v>
      </c>
      <c r="K79" s="30">
        <f t="shared" si="1"/>
        <v>-239.88</v>
      </c>
      <c r="L79" s="30" t="str">
        <f>Simulacion!V71</f>
        <v>bueno</v>
      </c>
    </row>
    <row r="80" ht="15.75" customHeight="1">
      <c r="I80" s="30">
        <f>Simulacion!L72</f>
        <v>839.96</v>
      </c>
      <c r="J80" s="30">
        <f>Simulacion!K72</f>
        <v>800</v>
      </c>
      <c r="K80" s="30">
        <f t="shared" si="1"/>
        <v>-39.96</v>
      </c>
      <c r="L80" s="30" t="str">
        <f>Simulacion!V72</f>
        <v>bueno</v>
      </c>
    </row>
    <row r="81" ht="15.75" customHeight="1">
      <c r="I81" s="30">
        <f>Simulacion!L73</f>
        <v>768.66</v>
      </c>
      <c r="J81" s="30">
        <f>Simulacion!K73</f>
        <v>725</v>
      </c>
      <c r="K81" s="30">
        <f t="shared" si="1"/>
        <v>-43.66</v>
      </c>
      <c r="L81" s="30" t="str">
        <f>Simulacion!V73</f>
        <v>bueno</v>
      </c>
    </row>
    <row r="82" ht="15.75" customHeight="1">
      <c r="I82" s="30">
        <f>Simulacion!L74</f>
        <v>789.79</v>
      </c>
      <c r="J82" s="30">
        <f>Simulacion!K74</f>
        <v>575</v>
      </c>
      <c r="K82" s="30">
        <f t="shared" si="1"/>
        <v>-214.79</v>
      </c>
      <c r="L82" s="30" t="str">
        <f>Simulacion!V74</f>
        <v>bueno</v>
      </c>
    </row>
    <row r="83" ht="15.75" customHeight="1">
      <c r="I83" s="30">
        <f>Simulacion!L75</f>
        <v>807.16</v>
      </c>
      <c r="J83" s="30">
        <f>Simulacion!K75</f>
        <v>575</v>
      </c>
      <c r="K83" s="30">
        <f t="shared" si="1"/>
        <v>-232.16</v>
      </c>
      <c r="L83" s="30" t="str">
        <f>Simulacion!V75</f>
        <v>bueno</v>
      </c>
    </row>
    <row r="84" ht="15.75" customHeight="1">
      <c r="I84" s="30">
        <f>Simulacion!L76</f>
        <v>811.06</v>
      </c>
      <c r="J84" s="30">
        <f>Simulacion!K76</f>
        <v>650</v>
      </c>
      <c r="K84" s="30">
        <f t="shared" si="1"/>
        <v>-161.06</v>
      </c>
      <c r="L84" s="30" t="str">
        <f>Simulacion!V76</f>
        <v>bueno</v>
      </c>
    </row>
    <row r="85" ht="15.75" customHeight="1">
      <c r="I85" s="30">
        <f>Simulacion!L77</f>
        <v>756.34</v>
      </c>
      <c r="J85" s="30">
        <f>Simulacion!K77</f>
        <v>725</v>
      </c>
      <c r="K85" s="30">
        <f t="shared" si="1"/>
        <v>-31.34</v>
      </c>
      <c r="L85" s="30" t="str">
        <f>Simulacion!V77</f>
        <v>bueno</v>
      </c>
    </row>
    <row r="86" ht="15.75" customHeight="1">
      <c r="I86" s="30">
        <f>Simulacion!L78</f>
        <v>791.18</v>
      </c>
      <c r="J86" s="30">
        <f>Simulacion!K78</f>
        <v>675</v>
      </c>
      <c r="K86" s="30">
        <f t="shared" si="1"/>
        <v>-116.18</v>
      </c>
      <c r="L86" s="30" t="str">
        <f>Simulacion!V78</f>
        <v>bueno</v>
      </c>
    </row>
    <row r="87" ht="15.75" customHeight="1">
      <c r="I87" s="30">
        <f>Simulacion!L79</f>
        <v>842.64</v>
      </c>
      <c r="J87" s="30">
        <f>Simulacion!K79</f>
        <v>805</v>
      </c>
      <c r="K87" s="30">
        <f t="shared" si="1"/>
        <v>-37.64</v>
      </c>
      <c r="L87" s="30" t="str">
        <f>Simulacion!V79</f>
        <v>bueno</v>
      </c>
    </row>
    <row r="88" ht="15.75" customHeight="1">
      <c r="I88" s="30">
        <f>Simulacion!L80</f>
        <v>813.38</v>
      </c>
      <c r="J88" s="30">
        <f>Simulacion!K80</f>
        <v>575</v>
      </c>
      <c r="K88" s="30">
        <f t="shared" si="1"/>
        <v>-238.38</v>
      </c>
      <c r="L88" s="30" t="str">
        <f>Simulacion!V80</f>
        <v>bueno</v>
      </c>
    </row>
    <row r="89" ht="15.75" customHeight="1">
      <c r="I89" s="30">
        <f>Simulacion!L81</f>
        <v>803.98</v>
      </c>
      <c r="J89" s="30">
        <f>Simulacion!K81</f>
        <v>880</v>
      </c>
      <c r="K89" s="30">
        <f t="shared" si="1"/>
        <v>76.02</v>
      </c>
      <c r="L89" s="30" t="str">
        <f>Simulacion!V81</f>
        <v>bueno</v>
      </c>
    </row>
    <row r="90" ht="15.75" customHeight="1">
      <c r="I90" s="30">
        <f>Simulacion!L82</f>
        <v>664.73</v>
      </c>
      <c r="J90" s="30">
        <f>Simulacion!K82</f>
        <v>425</v>
      </c>
      <c r="K90" s="30">
        <f t="shared" si="1"/>
        <v>-239.73</v>
      </c>
      <c r="L90" s="30" t="str">
        <f>Simulacion!V82</f>
        <v>regular</v>
      </c>
    </row>
    <row r="91" ht="15.75" customHeight="1">
      <c r="I91" s="30">
        <f>Simulacion!L83</f>
        <v>622.75</v>
      </c>
      <c r="J91" s="30">
        <f>Simulacion!K83</f>
        <v>475</v>
      </c>
      <c r="K91" s="30">
        <f t="shared" si="1"/>
        <v>-147.75</v>
      </c>
      <c r="L91" s="30" t="str">
        <f>Simulacion!V83</f>
        <v>regular</v>
      </c>
    </row>
    <row r="92" ht="15.75" customHeight="1">
      <c r="I92" s="30">
        <f>Simulacion!L84</f>
        <v>723.19</v>
      </c>
      <c r="J92" s="30">
        <f>Simulacion!K84</f>
        <v>425</v>
      </c>
      <c r="K92" s="30">
        <f t="shared" si="1"/>
        <v>-298.19</v>
      </c>
      <c r="L92" s="30" t="str">
        <f>Simulacion!V84</f>
        <v>regular</v>
      </c>
    </row>
    <row r="93" ht="15.75" customHeight="1">
      <c r="I93" s="30">
        <f>Simulacion!L85</f>
        <v>708.01</v>
      </c>
      <c r="J93" s="30">
        <f>Simulacion!K85</f>
        <v>525</v>
      </c>
      <c r="K93" s="30">
        <f t="shared" si="1"/>
        <v>-183.01</v>
      </c>
      <c r="L93" s="30" t="str">
        <f>Simulacion!V85</f>
        <v>regular</v>
      </c>
    </row>
    <row r="94" ht="15.75" customHeight="1">
      <c r="I94" s="30">
        <f>Simulacion!L86</f>
        <v>669.3</v>
      </c>
      <c r="J94" s="30">
        <f>Simulacion!K86</f>
        <v>425</v>
      </c>
      <c r="K94" s="30">
        <f t="shared" si="1"/>
        <v>-244.3</v>
      </c>
      <c r="L94" s="30" t="str">
        <f>Simulacion!V86</f>
        <v>regular</v>
      </c>
    </row>
    <row r="95" ht="15.75" customHeight="1">
      <c r="I95" s="30">
        <f>Simulacion!L87</f>
        <v>738.37</v>
      </c>
      <c r="J95" s="30">
        <f>Simulacion!K87</f>
        <v>425</v>
      </c>
      <c r="K95" s="30">
        <f t="shared" si="1"/>
        <v>-313.37</v>
      </c>
      <c r="L95" s="30" t="str">
        <f>Simulacion!V87</f>
        <v>regular</v>
      </c>
    </row>
    <row r="96" ht="15.75" customHeight="1">
      <c r="I96" s="30">
        <f>Simulacion!L88</f>
        <v>667.63</v>
      </c>
      <c r="J96" s="30">
        <f>Simulacion!K88</f>
        <v>475</v>
      </c>
      <c r="K96" s="30">
        <f t="shared" si="1"/>
        <v>-192.63</v>
      </c>
      <c r="L96" s="30" t="str">
        <f>Simulacion!V88</f>
        <v>regular</v>
      </c>
    </row>
    <row r="97" ht="15.75" customHeight="1">
      <c r="I97" s="30">
        <f>Simulacion!L89</f>
        <v>659.85</v>
      </c>
      <c r="J97" s="30">
        <f>Simulacion!K89</f>
        <v>375</v>
      </c>
      <c r="K97" s="30">
        <f t="shared" si="1"/>
        <v>-284.85</v>
      </c>
      <c r="L97" s="30" t="str">
        <f>Simulacion!V89</f>
        <v>regular</v>
      </c>
    </row>
    <row r="98" ht="15.75" customHeight="1">
      <c r="I98" s="30">
        <f>Simulacion!L90</f>
        <v>651.95</v>
      </c>
      <c r="J98" s="30">
        <f>Simulacion!K90</f>
        <v>425</v>
      </c>
      <c r="K98" s="30">
        <f t="shared" si="1"/>
        <v>-226.95</v>
      </c>
      <c r="L98" s="30" t="str">
        <f>Simulacion!V90</f>
        <v>regular</v>
      </c>
    </row>
    <row r="99" ht="15.75" customHeight="1">
      <c r="I99" s="30">
        <f>Simulacion!L91</f>
        <v>605.08</v>
      </c>
      <c r="J99" s="30">
        <f>Simulacion!K91</f>
        <v>475</v>
      </c>
      <c r="K99" s="30">
        <f t="shared" si="1"/>
        <v>-130.08</v>
      </c>
      <c r="L99" s="30" t="str">
        <f>Simulacion!V91</f>
        <v>regular</v>
      </c>
    </row>
    <row r="100" ht="15.75" customHeight="1">
      <c r="I100" s="30">
        <f>Simulacion!L92</f>
        <v>683.6</v>
      </c>
      <c r="J100" s="30">
        <f>Simulacion!K92</f>
        <v>475</v>
      </c>
      <c r="K100" s="30">
        <f t="shared" si="1"/>
        <v>-208.6</v>
      </c>
      <c r="L100" s="30" t="str">
        <f>Simulacion!V92</f>
        <v>regular</v>
      </c>
    </row>
    <row r="101" ht="15.75" customHeight="1">
      <c r="I101" s="30">
        <f>Simulacion!L93</f>
        <v>628.6</v>
      </c>
      <c r="J101" s="30">
        <f>Simulacion!K93</f>
        <v>475</v>
      </c>
      <c r="K101" s="30">
        <f t="shared" si="1"/>
        <v>-153.6</v>
      </c>
      <c r="L101" s="30" t="str">
        <f>Simulacion!V93</f>
        <v>regular</v>
      </c>
    </row>
    <row r="102" ht="15.75" customHeight="1">
      <c r="I102" s="30">
        <f>Simulacion!L94</f>
        <v>660.11</v>
      </c>
      <c r="J102" s="30">
        <f>Simulacion!K94</f>
        <v>475</v>
      </c>
      <c r="K102" s="30">
        <f t="shared" si="1"/>
        <v>-185.11</v>
      </c>
      <c r="L102" s="30" t="str">
        <f>Simulacion!V94</f>
        <v>regular</v>
      </c>
    </row>
    <row r="103" ht="15.75" customHeight="1">
      <c r="I103" s="30">
        <f>Simulacion!L95</f>
        <v>603.81</v>
      </c>
      <c r="J103" s="30">
        <f>Simulacion!K95</f>
        <v>475</v>
      </c>
      <c r="K103" s="30">
        <f t="shared" si="1"/>
        <v>-128.81</v>
      </c>
      <c r="L103" s="30" t="str">
        <f>Simulacion!V95</f>
        <v>regular</v>
      </c>
    </row>
    <row r="104" ht="15.75" customHeight="1">
      <c r="I104" s="30">
        <f>Simulacion!L96</f>
        <v>650.89</v>
      </c>
      <c r="J104" s="30">
        <f>Simulacion!K96</f>
        <v>425</v>
      </c>
      <c r="K104" s="30">
        <f t="shared" si="1"/>
        <v>-225.89</v>
      </c>
      <c r="L104" s="30" t="str">
        <f>Simulacion!V96</f>
        <v>regular</v>
      </c>
    </row>
    <row r="105" ht="15.75" customHeight="1">
      <c r="I105" s="30">
        <f>Simulacion!L97</f>
        <v>621.16</v>
      </c>
      <c r="J105" s="30">
        <f>Simulacion!K97</f>
        <v>525</v>
      </c>
      <c r="K105" s="30">
        <f t="shared" si="1"/>
        <v>-96.16</v>
      </c>
      <c r="L105" s="30" t="str">
        <f>Simulacion!V97</f>
        <v>regular</v>
      </c>
    </row>
    <row r="106" ht="15.75" customHeight="1">
      <c r="I106" s="30">
        <f>Simulacion!L98</f>
        <v>733.9</v>
      </c>
      <c r="J106" s="30">
        <f>Simulacion!K98</f>
        <v>325</v>
      </c>
      <c r="K106" s="30">
        <f t="shared" si="1"/>
        <v>-408.9</v>
      </c>
      <c r="L106" s="30" t="str">
        <f>Simulacion!V98</f>
        <v>regular</v>
      </c>
    </row>
    <row r="107" ht="15.75" customHeight="1">
      <c r="I107" s="30">
        <f>Simulacion!L99</f>
        <v>654.41</v>
      </c>
      <c r="J107" s="30">
        <f>Simulacion!K99</f>
        <v>425</v>
      </c>
      <c r="K107" s="30">
        <f t="shared" si="1"/>
        <v>-229.41</v>
      </c>
      <c r="L107" s="30" t="str">
        <f>Simulacion!V99</f>
        <v>regular</v>
      </c>
    </row>
    <row r="108" ht="15.75" customHeight="1">
      <c r="I108" s="30">
        <f>Simulacion!L100</f>
        <v>672.72</v>
      </c>
      <c r="J108" s="30">
        <f>Simulacion!K100</f>
        <v>475</v>
      </c>
      <c r="K108" s="30">
        <f t="shared" si="1"/>
        <v>-197.72</v>
      </c>
      <c r="L108" s="30" t="str">
        <f>Simulacion!V100</f>
        <v>regular</v>
      </c>
    </row>
    <row r="109" ht="15.75" customHeight="1">
      <c r="I109" s="30">
        <f>Simulacion!L101</f>
        <v>735.09</v>
      </c>
      <c r="J109" s="30">
        <f>Simulacion!K101</f>
        <v>475</v>
      </c>
      <c r="K109" s="30">
        <f t="shared" si="1"/>
        <v>-260.09</v>
      </c>
      <c r="L109" s="30" t="str">
        <f>Simulacion!V101</f>
        <v>regular</v>
      </c>
    </row>
    <row r="110" ht="15.75" customHeight="1">
      <c r="I110" s="30">
        <f>Simulacion!L102</f>
        <v>674.62</v>
      </c>
      <c r="J110" s="30">
        <f>Simulacion!K102</f>
        <v>425</v>
      </c>
      <c r="K110" s="30">
        <f t="shared" si="1"/>
        <v>-249.62</v>
      </c>
      <c r="L110" s="30" t="str">
        <f>Simulacion!V102</f>
        <v>regular</v>
      </c>
    </row>
    <row r="111" ht="15.75" customHeight="1">
      <c r="I111" s="30">
        <f>Simulacion!L103</f>
        <v>626.31</v>
      </c>
      <c r="J111" s="30">
        <f>Simulacion!K103</f>
        <v>325</v>
      </c>
      <c r="K111" s="30">
        <f t="shared" si="1"/>
        <v>-301.31</v>
      </c>
      <c r="L111" s="30" t="str">
        <f>Simulacion!V103</f>
        <v>regular</v>
      </c>
    </row>
    <row r="112" ht="15.75" customHeight="1">
      <c r="I112" s="30">
        <f>Simulacion!L104</f>
        <v>690.47</v>
      </c>
      <c r="J112" s="30">
        <f>Simulacion!K104</f>
        <v>475</v>
      </c>
      <c r="K112" s="30">
        <f t="shared" si="1"/>
        <v>-215.47</v>
      </c>
      <c r="L112" s="30" t="str">
        <f>Simulacion!V104</f>
        <v>regular</v>
      </c>
    </row>
    <row r="113" ht="15.75" customHeight="1">
      <c r="I113" s="30">
        <f>Simulacion!L105</f>
        <v>699.55</v>
      </c>
      <c r="J113" s="30">
        <f>Simulacion!K105</f>
        <v>525</v>
      </c>
      <c r="K113" s="30">
        <f t="shared" si="1"/>
        <v>-174.55</v>
      </c>
      <c r="L113" s="30" t="str">
        <f>Simulacion!V105</f>
        <v>regular</v>
      </c>
    </row>
    <row r="114" ht="15.75" customHeight="1">
      <c r="I114" s="30">
        <f>Simulacion!L106</f>
        <v>689.53</v>
      </c>
      <c r="J114" s="30">
        <f>Simulacion!K106</f>
        <v>475</v>
      </c>
      <c r="K114" s="30">
        <f t="shared" si="1"/>
        <v>-214.53</v>
      </c>
      <c r="L114" s="30" t="str">
        <f>Simulacion!V106</f>
        <v>regular</v>
      </c>
    </row>
    <row r="115" ht="15.75" customHeight="1">
      <c r="I115" s="30">
        <f>Simulacion!L107</f>
        <v>636.96</v>
      </c>
      <c r="J115" s="30">
        <f>Simulacion!K107</f>
        <v>475</v>
      </c>
      <c r="K115" s="30">
        <f t="shared" si="1"/>
        <v>-161.96</v>
      </c>
      <c r="L115" s="30" t="str">
        <f>Simulacion!V107</f>
        <v>regular</v>
      </c>
    </row>
    <row r="116" ht="15.75" customHeight="1">
      <c r="I116" s="30">
        <f>Simulacion!L108</f>
        <v>620.52</v>
      </c>
      <c r="J116" s="30">
        <f>Simulacion!K108</f>
        <v>425</v>
      </c>
      <c r="K116" s="30">
        <f t="shared" si="1"/>
        <v>-195.52</v>
      </c>
      <c r="L116" s="30" t="str">
        <f>Simulacion!V108</f>
        <v>regular</v>
      </c>
    </row>
    <row r="117" ht="15.75" customHeight="1">
      <c r="I117" s="30">
        <f>Simulacion!L109</f>
        <v>747.09</v>
      </c>
      <c r="J117" s="30">
        <f>Simulacion!K109</f>
        <v>575</v>
      </c>
      <c r="K117" s="30">
        <f t="shared" si="1"/>
        <v>-172.09</v>
      </c>
      <c r="L117" s="30" t="str">
        <f>Simulacion!V109</f>
        <v>regular</v>
      </c>
    </row>
    <row r="118" ht="15.75" customHeight="1">
      <c r="I118" s="30">
        <f>Simulacion!L110</f>
        <v>683.37</v>
      </c>
      <c r="J118" s="30">
        <f>Simulacion!K110</f>
        <v>475</v>
      </c>
      <c r="K118" s="30">
        <f t="shared" si="1"/>
        <v>-208.37</v>
      </c>
      <c r="L118" s="30" t="str">
        <f>Simulacion!V110</f>
        <v>regular</v>
      </c>
    </row>
    <row r="119" ht="15.75" customHeight="1">
      <c r="I119" s="30">
        <f>Simulacion!L111</f>
        <v>711.76</v>
      </c>
      <c r="J119" s="30">
        <f>Simulacion!K111</f>
        <v>375</v>
      </c>
      <c r="K119" s="30">
        <f t="shared" si="1"/>
        <v>-336.76</v>
      </c>
      <c r="L119" s="30" t="str">
        <f>Simulacion!V111</f>
        <v>regular</v>
      </c>
    </row>
    <row r="120" ht="15.75" customHeight="1">
      <c r="I120" s="30">
        <f>Simulacion!L112</f>
        <v>732.75</v>
      </c>
      <c r="J120" s="30">
        <f>Simulacion!K112</f>
        <v>425</v>
      </c>
      <c r="K120" s="30">
        <f t="shared" si="1"/>
        <v>-307.75</v>
      </c>
      <c r="L120" s="30" t="str">
        <f>Simulacion!V112</f>
        <v>regular</v>
      </c>
    </row>
    <row r="121" ht="15.75" customHeight="1">
      <c r="I121" s="30">
        <f>Simulacion!L113</f>
        <v>678.03</v>
      </c>
      <c r="J121" s="30">
        <f>Simulacion!K113</f>
        <v>425</v>
      </c>
      <c r="K121" s="30">
        <f t="shared" si="1"/>
        <v>-253.03</v>
      </c>
      <c r="L121" s="30" t="str">
        <f>Simulacion!V113</f>
        <v>regular</v>
      </c>
    </row>
    <row r="122" ht="15.75" customHeight="1">
      <c r="I122" s="30">
        <f>Simulacion!L114</f>
        <v>610.5</v>
      </c>
      <c r="J122" s="30">
        <f>Simulacion!K114</f>
        <v>375</v>
      </c>
      <c r="K122" s="30">
        <f t="shared" si="1"/>
        <v>-235.5</v>
      </c>
      <c r="L122" s="30" t="str">
        <f>Simulacion!V114</f>
        <v>regular</v>
      </c>
    </row>
    <row r="123" ht="15.75" customHeight="1">
      <c r="I123" s="30">
        <f>Simulacion!L115</f>
        <v>613.75</v>
      </c>
      <c r="J123" s="30">
        <f>Simulacion!K115</f>
        <v>475</v>
      </c>
      <c r="K123" s="30">
        <f t="shared" si="1"/>
        <v>-138.75</v>
      </c>
      <c r="L123" s="30" t="str">
        <f>Simulacion!V115</f>
        <v>regular</v>
      </c>
    </row>
    <row r="124" ht="15.75" customHeight="1">
      <c r="I124" s="30">
        <f>Simulacion!L116</f>
        <v>688.37</v>
      </c>
      <c r="J124" s="30">
        <f>Simulacion!K116</f>
        <v>425</v>
      </c>
      <c r="K124" s="30">
        <f t="shared" si="1"/>
        <v>-263.37</v>
      </c>
      <c r="L124" s="30" t="str">
        <f>Simulacion!V116</f>
        <v>regular</v>
      </c>
    </row>
    <row r="125" ht="15.75" customHeight="1">
      <c r="I125" s="30">
        <f>Simulacion!L117</f>
        <v>688.28</v>
      </c>
      <c r="J125" s="30">
        <f>Simulacion!K117</f>
        <v>525</v>
      </c>
      <c r="K125" s="30">
        <f t="shared" si="1"/>
        <v>-163.28</v>
      </c>
      <c r="L125" s="30" t="str">
        <f>Simulacion!V117</f>
        <v>regular</v>
      </c>
    </row>
    <row r="126" ht="15.75" customHeight="1">
      <c r="I126" s="30">
        <f>Simulacion!L118</f>
        <v>634.59</v>
      </c>
      <c r="J126" s="30">
        <f>Simulacion!K118</f>
        <v>475</v>
      </c>
      <c r="K126" s="30">
        <f t="shared" si="1"/>
        <v>-159.59</v>
      </c>
      <c r="L126" s="30" t="str">
        <f>Simulacion!V118</f>
        <v>regular</v>
      </c>
    </row>
    <row r="127" ht="15.75" customHeight="1">
      <c r="I127" s="30">
        <f>Simulacion!L119</f>
        <v>745.37</v>
      </c>
      <c r="J127" s="30">
        <f>Simulacion!K119</f>
        <v>375</v>
      </c>
      <c r="K127" s="30">
        <f t="shared" si="1"/>
        <v>-370.37</v>
      </c>
      <c r="L127" s="30" t="str">
        <f>Simulacion!V119</f>
        <v>regular</v>
      </c>
    </row>
    <row r="128" ht="15.75" customHeight="1">
      <c r="I128" s="30">
        <f>Simulacion!L120</f>
        <v>722.37</v>
      </c>
      <c r="J128" s="30">
        <f>Simulacion!K120</f>
        <v>475</v>
      </c>
      <c r="K128" s="30">
        <f t="shared" si="1"/>
        <v>-247.37</v>
      </c>
      <c r="L128" s="30" t="str">
        <f>Simulacion!V120</f>
        <v>regular</v>
      </c>
    </row>
    <row r="129" ht="15.75" customHeight="1">
      <c r="I129" s="30">
        <f>Simulacion!L121</f>
        <v>606.66</v>
      </c>
      <c r="J129" s="30">
        <f>Simulacion!K121</f>
        <v>475</v>
      </c>
      <c r="K129" s="30">
        <f t="shared" si="1"/>
        <v>-131.66</v>
      </c>
      <c r="L129" s="30" t="str">
        <f>Simulacion!V121</f>
        <v>regular</v>
      </c>
    </row>
    <row r="130" ht="15.75" customHeight="1">
      <c r="I130" s="30">
        <f>Simulacion!L122</f>
        <v>708.51</v>
      </c>
      <c r="J130" s="30">
        <f>Simulacion!K122</f>
        <v>525</v>
      </c>
      <c r="K130" s="30">
        <f t="shared" si="1"/>
        <v>-183.51</v>
      </c>
      <c r="L130" s="30" t="str">
        <f>Simulacion!V122</f>
        <v>regular</v>
      </c>
    </row>
    <row r="131" ht="15.75" customHeight="1">
      <c r="I131" s="30">
        <f>Simulacion!L123</f>
        <v>688.86</v>
      </c>
      <c r="J131" s="30">
        <f>Simulacion!K123</f>
        <v>475</v>
      </c>
      <c r="K131" s="30">
        <f t="shared" si="1"/>
        <v>-213.86</v>
      </c>
      <c r="L131" s="30" t="str">
        <f>Simulacion!V123</f>
        <v>regular</v>
      </c>
    </row>
    <row r="132" ht="15.75" customHeight="1">
      <c r="I132" s="30">
        <f>Simulacion!L124</f>
        <v>623.6</v>
      </c>
      <c r="J132" s="30">
        <f>Simulacion!K124</f>
        <v>475</v>
      </c>
      <c r="K132" s="30">
        <f t="shared" si="1"/>
        <v>-148.6</v>
      </c>
      <c r="L132" s="30" t="str">
        <f>Simulacion!V124</f>
        <v>regular</v>
      </c>
    </row>
    <row r="133" ht="15.75" customHeight="1">
      <c r="I133" s="30">
        <f>Simulacion!L125</f>
        <v>744.2</v>
      </c>
      <c r="J133" s="30">
        <f>Simulacion!K125</f>
        <v>525</v>
      </c>
      <c r="K133" s="30">
        <f t="shared" si="1"/>
        <v>-219.2</v>
      </c>
      <c r="L133" s="30" t="str">
        <f>Simulacion!V125</f>
        <v>regular</v>
      </c>
    </row>
    <row r="134" ht="15.75" customHeight="1">
      <c r="I134" s="30">
        <f>Simulacion!L126</f>
        <v>713.5</v>
      </c>
      <c r="J134" s="30">
        <f>Simulacion!K126</f>
        <v>425</v>
      </c>
      <c r="K134" s="30">
        <f t="shared" si="1"/>
        <v>-288.5</v>
      </c>
      <c r="L134" s="30" t="str">
        <f>Simulacion!V126</f>
        <v>regular</v>
      </c>
    </row>
    <row r="135" ht="15.75" customHeight="1">
      <c r="I135" s="30">
        <f>Simulacion!L127</f>
        <v>716.98</v>
      </c>
      <c r="J135" s="30">
        <f>Simulacion!K127</f>
        <v>425</v>
      </c>
      <c r="K135" s="30">
        <f t="shared" si="1"/>
        <v>-291.98</v>
      </c>
      <c r="L135" s="30" t="str">
        <f>Simulacion!V127</f>
        <v>regular</v>
      </c>
    </row>
    <row r="136" ht="15.75" customHeight="1">
      <c r="I136" s="30">
        <f>Simulacion!L128</f>
        <v>740.58</v>
      </c>
      <c r="J136" s="30">
        <f>Simulacion!K128</f>
        <v>425</v>
      </c>
      <c r="K136" s="30">
        <f t="shared" si="1"/>
        <v>-315.58</v>
      </c>
      <c r="L136" s="30" t="str">
        <f>Simulacion!V128</f>
        <v>regular</v>
      </c>
    </row>
    <row r="137" ht="15.75" customHeight="1">
      <c r="I137" s="30">
        <f>Simulacion!L129</f>
        <v>727.86</v>
      </c>
      <c r="J137" s="30">
        <f>Simulacion!K129</f>
        <v>375</v>
      </c>
      <c r="K137" s="30">
        <f t="shared" si="1"/>
        <v>-352.86</v>
      </c>
      <c r="L137" s="30" t="str">
        <f>Simulacion!V129</f>
        <v>regular</v>
      </c>
    </row>
    <row r="138" ht="15.75" customHeight="1">
      <c r="I138" s="30">
        <f>Simulacion!L130</f>
        <v>673.3</v>
      </c>
      <c r="J138" s="30">
        <f>Simulacion!K130</f>
        <v>525</v>
      </c>
      <c r="K138" s="30">
        <f t="shared" si="1"/>
        <v>-148.3</v>
      </c>
      <c r="L138" s="30" t="str">
        <f>Simulacion!V130</f>
        <v>regular</v>
      </c>
    </row>
    <row r="139" ht="15.75" customHeight="1">
      <c r="I139" s="30">
        <f>Simulacion!L131</f>
        <v>723.89</v>
      </c>
      <c r="J139" s="30">
        <f>Simulacion!K131</f>
        <v>475</v>
      </c>
      <c r="K139" s="30">
        <f t="shared" si="1"/>
        <v>-248.89</v>
      </c>
      <c r="L139" s="30" t="str">
        <f>Simulacion!V131</f>
        <v>regular</v>
      </c>
    </row>
    <row r="140" ht="15.75" customHeight="1">
      <c r="I140" s="30">
        <f>Simulacion!L132</f>
        <v>741.54</v>
      </c>
      <c r="J140" s="30">
        <f>Simulacion!K132</f>
        <v>425</v>
      </c>
      <c r="K140" s="30">
        <f t="shared" si="1"/>
        <v>-316.54</v>
      </c>
      <c r="L140" s="30" t="str">
        <f>Simulacion!V132</f>
        <v>regular</v>
      </c>
    </row>
    <row r="141" ht="15.75" customHeight="1">
      <c r="I141" s="30">
        <f>Simulacion!L133</f>
        <v>630.05</v>
      </c>
      <c r="J141" s="30">
        <f>Simulacion!K133</f>
        <v>375</v>
      </c>
      <c r="K141" s="30">
        <f t="shared" si="1"/>
        <v>-255.05</v>
      </c>
      <c r="L141" s="30" t="str">
        <f>Simulacion!V133</f>
        <v>regular</v>
      </c>
    </row>
    <row r="142" ht="15.75" customHeight="1">
      <c r="I142" s="30">
        <f>Simulacion!L134</f>
        <v>623.05</v>
      </c>
      <c r="J142" s="30">
        <f>Simulacion!K134</f>
        <v>425</v>
      </c>
      <c r="K142" s="30">
        <f t="shared" si="1"/>
        <v>-198.05</v>
      </c>
      <c r="L142" s="30" t="str">
        <f>Simulacion!V134</f>
        <v>regular</v>
      </c>
    </row>
    <row r="143" ht="15.75" customHeight="1">
      <c r="I143" s="30">
        <f>Simulacion!L135</f>
        <v>600.18</v>
      </c>
      <c r="J143" s="30">
        <f>Simulacion!K135</f>
        <v>425</v>
      </c>
      <c r="K143" s="30">
        <f t="shared" si="1"/>
        <v>-175.18</v>
      </c>
      <c r="L143" s="30" t="str">
        <f>Simulacion!V135</f>
        <v>regular</v>
      </c>
    </row>
    <row r="144" ht="15.75" customHeight="1">
      <c r="I144" s="30">
        <f>Simulacion!L136</f>
        <v>719.63</v>
      </c>
      <c r="J144" s="30">
        <f>Simulacion!K136</f>
        <v>375</v>
      </c>
      <c r="K144" s="30">
        <f t="shared" si="1"/>
        <v>-344.63</v>
      </c>
      <c r="L144" s="30" t="str">
        <f>Simulacion!V136</f>
        <v>regular</v>
      </c>
    </row>
    <row r="145" ht="15.75" customHeight="1">
      <c r="I145" s="30">
        <f>Simulacion!L137</f>
        <v>704.25</v>
      </c>
      <c r="J145" s="30">
        <f>Simulacion!K137</f>
        <v>425</v>
      </c>
      <c r="K145" s="30">
        <f t="shared" si="1"/>
        <v>-279.25</v>
      </c>
      <c r="L145" s="30" t="str">
        <f>Simulacion!V137</f>
        <v>regular</v>
      </c>
    </row>
    <row r="146" ht="15.75" customHeight="1">
      <c r="I146" s="30">
        <f>Simulacion!L138</f>
        <v>674.83</v>
      </c>
      <c r="J146" s="30">
        <f>Simulacion!K138</f>
        <v>525</v>
      </c>
      <c r="K146" s="30">
        <f t="shared" si="1"/>
        <v>-149.83</v>
      </c>
      <c r="L146" s="30" t="str">
        <f>Simulacion!V138</f>
        <v>regular</v>
      </c>
    </row>
    <row r="147" ht="15.75" customHeight="1">
      <c r="I147" s="30">
        <f>Simulacion!L139</f>
        <v>604.98</v>
      </c>
      <c r="J147" s="30">
        <f>Simulacion!K139</f>
        <v>425</v>
      </c>
      <c r="K147" s="30">
        <f t="shared" si="1"/>
        <v>-179.98</v>
      </c>
      <c r="L147" s="30" t="str">
        <f>Simulacion!V139</f>
        <v>regular</v>
      </c>
    </row>
    <row r="148" ht="15.75" customHeight="1">
      <c r="I148" s="30">
        <f>Simulacion!L140</f>
        <v>742.73</v>
      </c>
      <c r="J148" s="30">
        <f>Simulacion!K140</f>
        <v>425</v>
      </c>
      <c r="K148" s="30">
        <f t="shared" si="1"/>
        <v>-317.73</v>
      </c>
      <c r="L148" s="30" t="str">
        <f>Simulacion!V140</f>
        <v>regular</v>
      </c>
    </row>
    <row r="149" ht="15.75" customHeight="1">
      <c r="I149" s="30">
        <f>Simulacion!L141</f>
        <v>717.51</v>
      </c>
      <c r="J149" s="30">
        <f>Simulacion!K141</f>
        <v>525</v>
      </c>
      <c r="K149" s="30">
        <f t="shared" si="1"/>
        <v>-192.51</v>
      </c>
      <c r="L149" s="30" t="str">
        <f>Simulacion!V141</f>
        <v>regular</v>
      </c>
    </row>
    <row r="150" ht="15.75" customHeight="1">
      <c r="I150" s="30">
        <f>Simulacion!L142</f>
        <v>546.32</v>
      </c>
      <c r="J150" s="30">
        <f>Simulacion!K142</f>
        <v>300</v>
      </c>
      <c r="K150" s="30">
        <f t="shared" si="1"/>
        <v>-246.32</v>
      </c>
      <c r="L150" s="30" t="str">
        <f>Simulacion!V142</f>
        <v>malo</v>
      </c>
    </row>
    <row r="151" ht="15.75" customHeight="1">
      <c r="I151" s="30">
        <f>Simulacion!L143</f>
        <v>574.37</v>
      </c>
      <c r="J151" s="30">
        <f>Simulacion!K143</f>
        <v>175</v>
      </c>
      <c r="K151" s="30">
        <f t="shared" si="1"/>
        <v>-399.37</v>
      </c>
      <c r="L151" s="30" t="str">
        <f>Simulacion!V143</f>
        <v>malo</v>
      </c>
    </row>
    <row r="152" ht="15.75" customHeight="1">
      <c r="I152" s="30">
        <f>Simulacion!L144</f>
        <v>416.31</v>
      </c>
      <c r="J152" s="30">
        <f>Simulacion!K144</f>
        <v>225</v>
      </c>
      <c r="K152" s="30">
        <f t="shared" si="1"/>
        <v>-191.31</v>
      </c>
      <c r="L152" s="30" t="str">
        <f>Simulacion!V144</f>
        <v>malo</v>
      </c>
    </row>
    <row r="153" ht="15.75" customHeight="1">
      <c r="I153" s="30">
        <f>Simulacion!L145</f>
        <v>485.1</v>
      </c>
      <c r="J153" s="30">
        <f>Simulacion!K145</f>
        <v>175</v>
      </c>
      <c r="K153" s="30">
        <f t="shared" si="1"/>
        <v>-310.1</v>
      </c>
      <c r="L153" s="30" t="str">
        <f>Simulacion!V145</f>
        <v>malo</v>
      </c>
    </row>
    <row r="154" ht="15.75" customHeight="1">
      <c r="I154" s="30">
        <f>Simulacion!L146</f>
        <v>497.33</v>
      </c>
      <c r="J154" s="30">
        <f>Simulacion!K146</f>
        <v>300</v>
      </c>
      <c r="K154" s="30">
        <f t="shared" si="1"/>
        <v>-197.33</v>
      </c>
      <c r="L154" s="30" t="str">
        <f>Simulacion!V146</f>
        <v>malo</v>
      </c>
    </row>
    <row r="155" ht="15.75" customHeight="1">
      <c r="I155" s="30">
        <f>Simulacion!L147</f>
        <v>526.31</v>
      </c>
      <c r="J155" s="30">
        <f>Simulacion!K147</f>
        <v>325</v>
      </c>
      <c r="K155" s="30">
        <f t="shared" si="1"/>
        <v>-201.31</v>
      </c>
      <c r="L155" s="30" t="str">
        <f>Simulacion!V147</f>
        <v>malo</v>
      </c>
    </row>
    <row r="156" ht="15.75" customHeight="1">
      <c r="I156" s="30">
        <f>Simulacion!L148</f>
        <v>570.88</v>
      </c>
      <c r="J156" s="30">
        <f>Simulacion!K148</f>
        <v>275</v>
      </c>
      <c r="K156" s="30">
        <f t="shared" si="1"/>
        <v>-295.88</v>
      </c>
      <c r="L156" s="30" t="str">
        <f>Simulacion!V148</f>
        <v>malo</v>
      </c>
    </row>
    <row r="157" ht="15.75" customHeight="1">
      <c r="I157" s="30">
        <f>Simulacion!L149</f>
        <v>571.6</v>
      </c>
      <c r="J157" s="30">
        <f>Simulacion!K149</f>
        <v>150</v>
      </c>
      <c r="K157" s="30">
        <f t="shared" si="1"/>
        <v>-421.6</v>
      </c>
      <c r="L157" s="30" t="str">
        <f>Simulacion!V149</f>
        <v>malo</v>
      </c>
    </row>
    <row r="158" ht="15.75" customHeight="1">
      <c r="I158" s="30">
        <f>Simulacion!L150</f>
        <v>466.18</v>
      </c>
      <c r="J158" s="30">
        <f>Simulacion!K150</f>
        <v>275</v>
      </c>
      <c r="K158" s="30">
        <f t="shared" si="1"/>
        <v>-191.18</v>
      </c>
      <c r="L158" s="30" t="str">
        <f>Simulacion!V150</f>
        <v>malo</v>
      </c>
    </row>
    <row r="159" ht="15.75" customHeight="1">
      <c r="I159" s="30">
        <f>Simulacion!L151</f>
        <v>475.87</v>
      </c>
      <c r="J159" s="30">
        <f>Simulacion!K151</f>
        <v>250</v>
      </c>
      <c r="K159" s="30">
        <f t="shared" si="1"/>
        <v>-225.87</v>
      </c>
      <c r="L159" s="30" t="str">
        <f>Simulacion!V151</f>
        <v>malo</v>
      </c>
    </row>
    <row r="160" ht="15.75" customHeight="1">
      <c r="I160" s="30">
        <f>Simulacion!L152</f>
        <v>422.38</v>
      </c>
      <c r="J160" s="30">
        <f>Simulacion!K152</f>
        <v>225</v>
      </c>
      <c r="K160" s="30">
        <f t="shared" si="1"/>
        <v>-197.38</v>
      </c>
      <c r="L160" s="30" t="str">
        <f>Simulacion!V152</f>
        <v>malo</v>
      </c>
    </row>
    <row r="161" ht="15.75" customHeight="1">
      <c r="I161" s="30">
        <f>Simulacion!L153</f>
        <v>463.23</v>
      </c>
      <c r="J161" s="30">
        <f>Simulacion!K153</f>
        <v>150</v>
      </c>
      <c r="K161" s="30">
        <f t="shared" si="1"/>
        <v>-313.23</v>
      </c>
      <c r="L161" s="30" t="str">
        <f>Simulacion!V153</f>
        <v>malo</v>
      </c>
    </row>
    <row r="162" ht="15.75" customHeight="1">
      <c r="I162" s="30">
        <f>Simulacion!L154</f>
        <v>573.58</v>
      </c>
      <c r="J162" s="30">
        <f>Simulacion!K154</f>
        <v>250</v>
      </c>
      <c r="K162" s="30">
        <f t="shared" si="1"/>
        <v>-323.58</v>
      </c>
      <c r="L162" s="30" t="str">
        <f>Simulacion!V154</f>
        <v>malo</v>
      </c>
    </row>
    <row r="163" ht="15.75" customHeight="1">
      <c r="I163" s="30">
        <f>Simulacion!L155</f>
        <v>546.58</v>
      </c>
      <c r="J163" s="30">
        <f>Simulacion!K155</f>
        <v>200</v>
      </c>
      <c r="K163" s="30">
        <f t="shared" si="1"/>
        <v>-346.58</v>
      </c>
      <c r="L163" s="30" t="str">
        <f>Simulacion!V155</f>
        <v>malo</v>
      </c>
    </row>
    <row r="164" ht="15.75" customHeight="1">
      <c r="I164" s="30">
        <f>Simulacion!L156</f>
        <v>595.73</v>
      </c>
      <c r="J164" s="30">
        <f>Simulacion!K156</f>
        <v>200</v>
      </c>
      <c r="K164" s="30">
        <f t="shared" si="1"/>
        <v>-395.73</v>
      </c>
      <c r="L164" s="30" t="str">
        <f>Simulacion!V156</f>
        <v>malo</v>
      </c>
    </row>
    <row r="165" ht="15.75" customHeight="1">
      <c r="I165" s="30">
        <f>Simulacion!L157</f>
        <v>583.74</v>
      </c>
      <c r="J165" s="30">
        <f>Simulacion!K157</f>
        <v>225</v>
      </c>
      <c r="K165" s="30">
        <f t="shared" si="1"/>
        <v>-358.74</v>
      </c>
      <c r="L165" s="30" t="str">
        <f>Simulacion!V157</f>
        <v>malo</v>
      </c>
    </row>
    <row r="166" ht="15.75" customHeight="1">
      <c r="I166" s="30">
        <f>Simulacion!L158</f>
        <v>463.62</v>
      </c>
      <c r="J166" s="30">
        <f>Simulacion!K158</f>
        <v>275</v>
      </c>
      <c r="K166" s="30">
        <f t="shared" si="1"/>
        <v>-188.62</v>
      </c>
      <c r="L166" s="30" t="str">
        <f>Simulacion!V158</f>
        <v>malo</v>
      </c>
    </row>
    <row r="167" ht="15.75" customHeight="1">
      <c r="I167" s="30">
        <f>Simulacion!L159</f>
        <v>585.13</v>
      </c>
      <c r="J167" s="30">
        <f>Simulacion!K159</f>
        <v>300</v>
      </c>
      <c r="K167" s="30">
        <f t="shared" si="1"/>
        <v>-285.13</v>
      </c>
      <c r="L167" s="30" t="str">
        <f>Simulacion!V159</f>
        <v>malo</v>
      </c>
    </row>
    <row r="168" ht="15.75" customHeight="1">
      <c r="I168" s="30">
        <f>Simulacion!L160</f>
        <v>465.68</v>
      </c>
      <c r="J168" s="30">
        <f>Simulacion!K160</f>
        <v>300</v>
      </c>
      <c r="K168" s="30">
        <f t="shared" si="1"/>
        <v>-165.68</v>
      </c>
      <c r="L168" s="30" t="str">
        <f>Simulacion!V160</f>
        <v>malo</v>
      </c>
    </row>
    <row r="169" ht="15.75" customHeight="1">
      <c r="I169" s="30">
        <f>Simulacion!L161</f>
        <v>414.64</v>
      </c>
      <c r="J169" s="30">
        <f>Simulacion!K161</f>
        <v>150</v>
      </c>
      <c r="K169" s="30">
        <f t="shared" si="1"/>
        <v>-264.64</v>
      </c>
      <c r="L169" s="30" t="str">
        <f>Simulacion!V161</f>
        <v>malo</v>
      </c>
    </row>
    <row r="170" ht="15.75" customHeight="1">
      <c r="I170" s="30">
        <f>Simulacion!L162</f>
        <v>562.75</v>
      </c>
      <c r="J170" s="30">
        <f>Simulacion!K162</f>
        <v>250</v>
      </c>
      <c r="K170" s="30">
        <f t="shared" si="1"/>
        <v>-312.75</v>
      </c>
      <c r="L170" s="30" t="str">
        <f>Simulacion!V162</f>
        <v>malo</v>
      </c>
    </row>
    <row r="171" ht="15.75" customHeight="1">
      <c r="I171" s="30">
        <f>Simulacion!L163</f>
        <v>543.1</v>
      </c>
      <c r="J171" s="30">
        <f>Simulacion!K163</f>
        <v>200</v>
      </c>
      <c r="K171" s="30">
        <f t="shared" si="1"/>
        <v>-343.1</v>
      </c>
      <c r="L171" s="30" t="str">
        <f>Simulacion!V163</f>
        <v>malo</v>
      </c>
    </row>
    <row r="172" ht="15.75" customHeight="1">
      <c r="I172" s="30">
        <f>Simulacion!L164</f>
        <v>439.43</v>
      </c>
      <c r="J172" s="30">
        <f>Simulacion!K164</f>
        <v>175</v>
      </c>
      <c r="K172" s="30">
        <f t="shared" si="1"/>
        <v>-264.43</v>
      </c>
      <c r="L172" s="30" t="str">
        <f>Simulacion!V164</f>
        <v>malo</v>
      </c>
    </row>
    <row r="173" ht="15.75" customHeight="1">
      <c r="I173" s="30">
        <f>Simulacion!L165</f>
        <v>516.19</v>
      </c>
      <c r="J173" s="30">
        <f>Simulacion!K165</f>
        <v>150</v>
      </c>
      <c r="K173" s="30">
        <f t="shared" si="1"/>
        <v>-366.19</v>
      </c>
      <c r="L173" s="30" t="str">
        <f>Simulacion!V165</f>
        <v>malo</v>
      </c>
    </row>
    <row r="174" ht="15.75" customHeight="1">
      <c r="I174" s="30">
        <f>Simulacion!L166</f>
        <v>559.96</v>
      </c>
      <c r="J174" s="30">
        <f>Simulacion!K166</f>
        <v>250</v>
      </c>
      <c r="K174" s="30">
        <f t="shared" si="1"/>
        <v>-309.96</v>
      </c>
      <c r="L174" s="30" t="str">
        <f>Simulacion!V166</f>
        <v>malo</v>
      </c>
    </row>
    <row r="175" ht="15.75" customHeight="1">
      <c r="I175" s="30">
        <f>Simulacion!L167</f>
        <v>526.63</v>
      </c>
      <c r="J175" s="30">
        <f>Simulacion!K167</f>
        <v>200</v>
      </c>
      <c r="K175" s="30">
        <f t="shared" si="1"/>
        <v>-326.63</v>
      </c>
      <c r="L175" s="30" t="str">
        <f>Simulacion!V167</f>
        <v>malo</v>
      </c>
    </row>
    <row r="176" ht="15.75" customHeight="1">
      <c r="I176" s="30">
        <f>Simulacion!L168</f>
        <v>581.18</v>
      </c>
      <c r="J176" s="30">
        <f>Simulacion!K168</f>
        <v>300</v>
      </c>
      <c r="K176" s="30">
        <f t="shared" si="1"/>
        <v>-281.18</v>
      </c>
      <c r="L176" s="30" t="str">
        <f>Simulacion!V168</f>
        <v>malo</v>
      </c>
    </row>
    <row r="177" ht="15.75" customHeight="1">
      <c r="I177" s="30">
        <f>Simulacion!L169</f>
        <v>524.77</v>
      </c>
      <c r="J177" s="30">
        <f>Simulacion!K169</f>
        <v>175</v>
      </c>
      <c r="K177" s="30">
        <f t="shared" si="1"/>
        <v>-349.77</v>
      </c>
      <c r="L177" s="30" t="str">
        <f>Simulacion!V169</f>
        <v>malo</v>
      </c>
    </row>
    <row r="178" ht="15.75" customHeight="1">
      <c r="I178" s="30">
        <f>Simulacion!L170</f>
        <v>446.05</v>
      </c>
      <c r="J178" s="30">
        <f>Simulacion!K170</f>
        <v>225</v>
      </c>
      <c r="K178" s="30">
        <f t="shared" si="1"/>
        <v>-221.05</v>
      </c>
      <c r="L178" s="30" t="str">
        <f>Simulacion!V170</f>
        <v>malo</v>
      </c>
    </row>
    <row r="179" ht="15.75" customHeight="1">
      <c r="I179" s="30">
        <f>Simulacion!L171</f>
        <v>535.17</v>
      </c>
      <c r="J179" s="30">
        <f>Simulacion!K171</f>
        <v>150</v>
      </c>
      <c r="K179" s="30">
        <f t="shared" si="1"/>
        <v>-385.17</v>
      </c>
      <c r="L179" s="30" t="str">
        <f>Simulacion!V171</f>
        <v>malo</v>
      </c>
    </row>
    <row r="180" ht="15.75" customHeight="1">
      <c r="I180" s="30">
        <f>Simulacion!L172</f>
        <v>454.83</v>
      </c>
      <c r="J180" s="30">
        <f>Simulacion!K172</f>
        <v>250</v>
      </c>
      <c r="K180" s="30">
        <f t="shared" si="1"/>
        <v>-204.83</v>
      </c>
      <c r="L180" s="30" t="str">
        <f>Simulacion!V172</f>
        <v>malo</v>
      </c>
    </row>
    <row r="181" ht="15.75" customHeight="1">
      <c r="I181" s="30">
        <f>Simulacion!L173</f>
        <v>503.81</v>
      </c>
      <c r="J181" s="30">
        <f>Simulacion!K173</f>
        <v>300</v>
      </c>
      <c r="K181" s="30">
        <f t="shared" si="1"/>
        <v>-203.81</v>
      </c>
      <c r="L181" s="30" t="str">
        <f>Simulacion!V173</f>
        <v>malo</v>
      </c>
    </row>
    <row r="182" ht="15.75" customHeight="1">
      <c r="I182" s="30">
        <f>Simulacion!L174</f>
        <v>466.6</v>
      </c>
      <c r="J182" s="30">
        <f>Simulacion!K174</f>
        <v>200</v>
      </c>
      <c r="K182" s="30">
        <f t="shared" si="1"/>
        <v>-266.6</v>
      </c>
      <c r="L182" s="30" t="str">
        <f>Simulacion!V174</f>
        <v>malo</v>
      </c>
    </row>
    <row r="183" ht="15.75" customHeight="1">
      <c r="I183" s="30">
        <f>Simulacion!L175</f>
        <v>591.53</v>
      </c>
      <c r="J183" s="30">
        <f>Simulacion!K175</f>
        <v>175</v>
      </c>
      <c r="K183" s="30">
        <f t="shared" si="1"/>
        <v>-416.53</v>
      </c>
      <c r="L183" s="30" t="str">
        <f>Simulacion!V175</f>
        <v>malo</v>
      </c>
    </row>
    <row r="184" ht="15.75" customHeight="1">
      <c r="I184" s="30">
        <f>Simulacion!L176</f>
        <v>532.98</v>
      </c>
      <c r="J184" s="30">
        <f>Simulacion!K176</f>
        <v>250</v>
      </c>
      <c r="K184" s="30">
        <f t="shared" si="1"/>
        <v>-282.98</v>
      </c>
      <c r="L184" s="30" t="str">
        <f>Simulacion!V176</f>
        <v>malo</v>
      </c>
    </row>
    <row r="185" ht="15.75" customHeight="1">
      <c r="I185" s="30">
        <f>Simulacion!L177</f>
        <v>568.41</v>
      </c>
      <c r="J185" s="30">
        <f>Simulacion!K177</f>
        <v>175</v>
      </c>
      <c r="K185" s="30">
        <f t="shared" si="1"/>
        <v>-393.41</v>
      </c>
      <c r="L185" s="30" t="str">
        <f>Simulacion!V177</f>
        <v>malo</v>
      </c>
    </row>
    <row r="186" ht="15.75" customHeight="1">
      <c r="I186" s="30">
        <f>Simulacion!L178</f>
        <v>407.23</v>
      </c>
      <c r="J186" s="30">
        <f>Simulacion!K178</f>
        <v>225</v>
      </c>
      <c r="K186" s="30">
        <f t="shared" si="1"/>
        <v>-182.23</v>
      </c>
      <c r="L186" s="30" t="str">
        <f>Simulacion!V178</f>
        <v>malo</v>
      </c>
    </row>
    <row r="187" ht="15.75" customHeight="1">
      <c r="I187" s="30">
        <f>Simulacion!L179</f>
        <v>588.48</v>
      </c>
      <c r="J187" s="30">
        <f>Simulacion!K179</f>
        <v>175</v>
      </c>
      <c r="K187" s="30">
        <f t="shared" si="1"/>
        <v>-413.48</v>
      </c>
      <c r="L187" s="30" t="str">
        <f>Simulacion!V179</f>
        <v>malo</v>
      </c>
    </row>
    <row r="188" ht="15.75" customHeight="1">
      <c r="I188" s="30">
        <f>Simulacion!L180</f>
        <v>507.95</v>
      </c>
      <c r="J188" s="30">
        <f>Simulacion!K180</f>
        <v>275</v>
      </c>
      <c r="K188" s="30">
        <f t="shared" si="1"/>
        <v>-232.95</v>
      </c>
      <c r="L188" s="30" t="str">
        <f>Simulacion!V180</f>
        <v>malo</v>
      </c>
    </row>
    <row r="189" ht="15.75" customHeight="1">
      <c r="I189" s="30">
        <f>Simulacion!L181</f>
        <v>404.58</v>
      </c>
      <c r="J189" s="30">
        <f>Simulacion!K181</f>
        <v>325</v>
      </c>
      <c r="K189" s="30">
        <f t="shared" si="1"/>
        <v>-79.58</v>
      </c>
      <c r="L189" s="30" t="str">
        <f>Simulacion!V181</f>
        <v>malo</v>
      </c>
    </row>
    <row r="190" ht="15.75" customHeight="1">
      <c r="I190" s="30">
        <f>Simulacion!L182</f>
        <v>488.41</v>
      </c>
      <c r="J190" s="30">
        <f>Simulacion!K182</f>
        <v>880</v>
      </c>
      <c r="K190" s="30">
        <f t="shared" si="1"/>
        <v>391.59</v>
      </c>
      <c r="L190" s="30" t="str">
        <f>Simulacion!V182</f>
        <v>outlier</v>
      </c>
    </row>
    <row r="191" ht="15.75" customHeight="1">
      <c r="I191" s="30">
        <f>Simulacion!L183</f>
        <v>836.75</v>
      </c>
      <c r="J191" s="30">
        <f>Simulacion!K183</f>
        <v>250</v>
      </c>
      <c r="K191" s="30">
        <f t="shared" si="1"/>
        <v>-586.75</v>
      </c>
      <c r="L191" s="30" t="str">
        <f>Simulacion!V183</f>
        <v>outlier</v>
      </c>
    </row>
    <row r="192" ht="15.75" customHeight="1">
      <c r="I192" s="30">
        <f>Simulacion!L184</f>
        <v>490.47</v>
      </c>
      <c r="J192" s="30">
        <f>Simulacion!K184</f>
        <v>805</v>
      </c>
      <c r="K192" s="30">
        <f t="shared" si="1"/>
        <v>314.53</v>
      </c>
      <c r="L192" s="30" t="str">
        <f>Simulacion!V184</f>
        <v>outlier</v>
      </c>
    </row>
    <row r="193" ht="15.75" customHeight="1">
      <c r="I193" s="30">
        <f>Simulacion!L185</f>
        <v>407.97</v>
      </c>
      <c r="J193" s="30">
        <f>Simulacion!K185</f>
        <v>800</v>
      </c>
      <c r="K193" s="30">
        <f t="shared" si="1"/>
        <v>392.03</v>
      </c>
      <c r="L193" s="30" t="str">
        <f>Simulacion!V185</f>
        <v>outlier</v>
      </c>
    </row>
    <row r="194" ht="15.75" customHeight="1">
      <c r="I194" s="30">
        <f>Simulacion!L186</f>
        <v>414.55</v>
      </c>
      <c r="J194" s="30">
        <f>Simulacion!K186</f>
        <v>800</v>
      </c>
      <c r="K194" s="30">
        <f t="shared" si="1"/>
        <v>385.45</v>
      </c>
      <c r="L194" s="30" t="str">
        <f>Simulacion!V186</f>
        <v>outlier</v>
      </c>
    </row>
    <row r="195" ht="15.75" customHeight="1">
      <c r="I195" s="30">
        <f>Simulacion!L187</f>
        <v>384.33</v>
      </c>
      <c r="J195" s="30">
        <f>Simulacion!K187</f>
        <v>880</v>
      </c>
      <c r="K195" s="30">
        <f t="shared" si="1"/>
        <v>495.67</v>
      </c>
      <c r="L195" s="30" t="str">
        <f>Simulacion!V187</f>
        <v>outlier</v>
      </c>
    </row>
    <row r="196" ht="15.75" customHeight="1">
      <c r="I196" s="30">
        <f>Simulacion!L188</f>
        <v>417.47</v>
      </c>
      <c r="J196" s="30">
        <f>Simulacion!K188</f>
        <v>800</v>
      </c>
      <c r="K196" s="30">
        <f t="shared" si="1"/>
        <v>382.53</v>
      </c>
      <c r="L196" s="30" t="str">
        <f>Simulacion!V188</f>
        <v>outlier</v>
      </c>
    </row>
    <row r="197" ht="15.75" customHeight="1">
      <c r="I197" s="30">
        <f>Simulacion!L189</f>
        <v>412.42</v>
      </c>
      <c r="J197" s="30">
        <f>Simulacion!K189</f>
        <v>880</v>
      </c>
      <c r="K197" s="30">
        <f t="shared" si="1"/>
        <v>467.58</v>
      </c>
      <c r="L197" s="30" t="str">
        <f>Simulacion!V189</f>
        <v>outlier</v>
      </c>
    </row>
    <row r="198" ht="15.75" customHeight="1">
      <c r="I198" s="30">
        <f>Simulacion!L190</f>
        <v>351.82</v>
      </c>
      <c r="J198" s="30">
        <f>Simulacion!K190</f>
        <v>750</v>
      </c>
      <c r="K198" s="30">
        <f t="shared" si="1"/>
        <v>398.18</v>
      </c>
      <c r="L198" s="30" t="str">
        <f>Simulacion!V190</f>
        <v>outlier</v>
      </c>
    </row>
    <row r="199" ht="15.75" customHeight="1">
      <c r="I199" s="30">
        <f>Simulacion!L191</f>
        <v>845.44</v>
      </c>
      <c r="J199" s="30">
        <f>Simulacion!K191</f>
        <v>200</v>
      </c>
      <c r="K199" s="30">
        <f t="shared" si="1"/>
        <v>-645.44</v>
      </c>
      <c r="L199" s="30" t="str">
        <f>Simulacion!V191</f>
        <v>outlier</v>
      </c>
    </row>
    <row r="200" ht="15.75" customHeight="1">
      <c r="I200" s="30">
        <f>Simulacion!L192</f>
        <v>418.92</v>
      </c>
      <c r="J200" s="30">
        <f>Simulacion!K192</f>
        <v>880</v>
      </c>
      <c r="K200" s="30">
        <f t="shared" si="1"/>
        <v>461.08</v>
      </c>
      <c r="L200" s="30" t="str">
        <f>Simulacion!V192</f>
        <v>outlier</v>
      </c>
    </row>
    <row r="201" ht="15.75" customHeight="1">
      <c r="I201" s="30">
        <f>Simulacion!L193</f>
        <v>827.94</v>
      </c>
      <c r="J201" s="30">
        <f>Simulacion!K193</f>
        <v>200</v>
      </c>
      <c r="K201" s="30">
        <f t="shared" si="1"/>
        <v>-627.94</v>
      </c>
      <c r="L201" s="30" t="str">
        <f>Simulacion!V193</f>
        <v>outlier</v>
      </c>
    </row>
    <row r="202" ht="15.75" customHeight="1">
      <c r="I202" s="30">
        <f>Simulacion!L194</f>
        <v>360</v>
      </c>
      <c r="J202" s="30">
        <f>Simulacion!K194</f>
        <v>750</v>
      </c>
      <c r="K202" s="30">
        <f t="shared" si="1"/>
        <v>390</v>
      </c>
      <c r="L202" s="30" t="str">
        <f>Simulacion!V194</f>
        <v>outlier</v>
      </c>
    </row>
    <row r="203" ht="15.75" customHeight="1">
      <c r="I203" s="30">
        <f>Simulacion!L195</f>
        <v>457.45</v>
      </c>
      <c r="J203" s="30">
        <f>Simulacion!K195</f>
        <v>855</v>
      </c>
      <c r="K203" s="30">
        <f t="shared" si="1"/>
        <v>397.55</v>
      </c>
      <c r="L203" s="30" t="str">
        <f>Simulacion!V195</f>
        <v>outlier</v>
      </c>
    </row>
    <row r="204" ht="15.75" customHeight="1">
      <c r="I204" s="30">
        <f>Simulacion!L196</f>
        <v>495.61</v>
      </c>
      <c r="J204" s="30">
        <f>Simulacion!K196</f>
        <v>750</v>
      </c>
      <c r="K204" s="30">
        <f t="shared" si="1"/>
        <v>254.39</v>
      </c>
      <c r="L204" s="30" t="str">
        <f>Simulacion!V196</f>
        <v>outlier</v>
      </c>
    </row>
    <row r="205" ht="15.75" customHeight="1">
      <c r="I205" s="30">
        <f>Simulacion!L197</f>
        <v>802.09</v>
      </c>
      <c r="J205" s="30">
        <f>Simulacion!K197</f>
        <v>175</v>
      </c>
      <c r="K205" s="30">
        <f t="shared" si="1"/>
        <v>-627.09</v>
      </c>
      <c r="L205" s="30" t="str">
        <f>Simulacion!V197</f>
        <v>outlier</v>
      </c>
    </row>
    <row r="206" ht="15.75" customHeight="1">
      <c r="I206" s="30">
        <f>Simulacion!L198</f>
        <v>801.04</v>
      </c>
      <c r="J206" s="30">
        <f>Simulacion!K198</f>
        <v>175</v>
      </c>
      <c r="K206" s="30">
        <f t="shared" si="1"/>
        <v>-626.04</v>
      </c>
      <c r="L206" s="30" t="str">
        <f>Simulacion!V198</f>
        <v>outlier</v>
      </c>
    </row>
    <row r="207" ht="15.75" customHeight="1">
      <c r="I207" s="30">
        <f>Simulacion!L199</f>
        <v>879.87</v>
      </c>
      <c r="J207" s="30">
        <f>Simulacion!K199</f>
        <v>200</v>
      </c>
      <c r="K207" s="30">
        <f t="shared" si="1"/>
        <v>-679.87</v>
      </c>
      <c r="L207" s="30" t="str">
        <f>Simulacion!V199</f>
        <v>outlier</v>
      </c>
    </row>
    <row r="208" ht="15.75" customHeight="1">
      <c r="I208" s="30">
        <f>Simulacion!L200</f>
        <v>369.21</v>
      </c>
      <c r="J208" s="30">
        <f>Simulacion!K200</f>
        <v>855</v>
      </c>
      <c r="K208" s="30">
        <f t="shared" si="1"/>
        <v>485.79</v>
      </c>
      <c r="L208" s="30" t="str">
        <f>Simulacion!V200</f>
        <v>outlier</v>
      </c>
    </row>
    <row r="209" ht="15.75" customHeight="1">
      <c r="I209" s="30">
        <f>Simulacion!L201</f>
        <v>894.31</v>
      </c>
      <c r="J209" s="30">
        <f>Simulacion!K201</f>
        <v>150</v>
      </c>
      <c r="K209" s="30">
        <f t="shared" si="1"/>
        <v>-744.31</v>
      </c>
      <c r="L209" s="30" t="str">
        <f>Simulacion!V201</f>
        <v>outlier</v>
      </c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K5:L6"/>
    <mergeCell ref="M5:N6"/>
    <mergeCell ref="O5:P6"/>
    <mergeCell ref="Q5:R6"/>
    <mergeCell ref="A1:R1"/>
    <mergeCell ref="A3:C3"/>
    <mergeCell ref="D3:F3"/>
    <mergeCell ref="A5:C6"/>
    <mergeCell ref="D5:F6"/>
    <mergeCell ref="G5:H6"/>
    <mergeCell ref="I5:J6"/>
    <mergeCell ref="D7:F7"/>
    <mergeCell ref="A9:G9"/>
    <mergeCell ref="A25:F25"/>
    <mergeCell ref="A33:F33"/>
    <mergeCell ref="A41:C41"/>
    <mergeCell ref="A7:C7"/>
    <mergeCell ref="G7:H7"/>
    <mergeCell ref="I7:J7"/>
    <mergeCell ref="K7:L7"/>
    <mergeCell ref="M7:N7"/>
    <mergeCell ref="O7:P7"/>
    <mergeCell ref="Q7:R7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4.0"/>
    <col customWidth="1" min="11" max="26" width="8.71"/>
  </cols>
  <sheetData>
    <row r="1" ht="19.5" customHeight="1">
      <c r="A1" s="47" t="s">
        <v>196</v>
      </c>
      <c r="B1" s="2"/>
      <c r="C1" s="2"/>
      <c r="D1" s="2"/>
      <c r="E1" s="2"/>
      <c r="F1" s="2"/>
      <c r="G1" s="2"/>
      <c r="H1" s="2"/>
      <c r="I1" s="2"/>
      <c r="J1" s="3"/>
    </row>
    <row r="3">
      <c r="A3" s="48" t="s">
        <v>197</v>
      </c>
    </row>
    <row r="5">
      <c r="A5" s="4" t="s">
        <v>141</v>
      </c>
      <c r="B5" s="4" t="s">
        <v>170</v>
      </c>
      <c r="C5" s="4" t="s">
        <v>198</v>
      </c>
      <c r="D5" s="4" t="s">
        <v>172</v>
      </c>
      <c r="E5" s="4" t="s">
        <v>199</v>
      </c>
      <c r="F5" s="4" t="s">
        <v>68</v>
      </c>
      <c r="G5" s="4" t="s">
        <v>161</v>
      </c>
      <c r="H5" s="4" t="s">
        <v>200</v>
      </c>
      <c r="I5" s="4" t="s">
        <v>201</v>
      </c>
      <c r="J5" s="4" t="s">
        <v>160</v>
      </c>
    </row>
    <row r="6">
      <c r="A6" s="15">
        <f>Simulacion!A2</f>
        <v>84865655</v>
      </c>
      <c r="B6" s="15">
        <f>Simulacion!L2</f>
        <v>895.92</v>
      </c>
      <c r="C6" s="15">
        <f>Simulacion!K2</f>
        <v>1000</v>
      </c>
      <c r="D6" s="15">
        <f t="shared" ref="D6:D35" si="1">ABS(B6-C6)</f>
        <v>104.08</v>
      </c>
      <c r="E6" s="15" t="str">
        <f t="shared" ref="E6:E35" si="2">IF(B6&gt;C6,"HCPN &gt; PLATAM","PLATAM &gt; HCPN")</f>
        <v>PLATAM &gt; HCPN</v>
      </c>
      <c r="F6" s="15" t="str">
        <f>Simulacion!U2</f>
        <v>maduro</v>
      </c>
      <c r="G6" s="15" t="str">
        <f>Simulacion!V2</f>
        <v>excelente</v>
      </c>
      <c r="H6" s="15" t="str">
        <f>Simulacion!R2</f>
        <v>A+</v>
      </c>
      <c r="I6" s="15" t="str">
        <f>Simulacion!Q2</f>
        <v>A+</v>
      </c>
      <c r="J6" s="15" t="str">
        <f>Simulacion!T2</f>
        <v>Mejora</v>
      </c>
    </row>
    <row r="7">
      <c r="A7" s="15">
        <f>Simulacion!A3</f>
        <v>39898663</v>
      </c>
      <c r="B7" s="15">
        <f>Simulacion!L3</f>
        <v>911.75</v>
      </c>
      <c r="C7" s="15">
        <f>Simulacion!K3</f>
        <v>1000</v>
      </c>
      <c r="D7" s="15">
        <f t="shared" si="1"/>
        <v>88.25</v>
      </c>
      <c r="E7" s="15" t="str">
        <f t="shared" si="2"/>
        <v>PLATAM &gt; HCPN</v>
      </c>
      <c r="F7" s="15" t="str">
        <f>Simulacion!U3</f>
        <v>establecido</v>
      </c>
      <c r="G7" s="15" t="str">
        <f>Simulacion!V3</f>
        <v>excelente</v>
      </c>
      <c r="H7" s="15" t="str">
        <f>Simulacion!R3</f>
        <v>A+</v>
      </c>
      <c r="I7" s="15" t="str">
        <f>Simulacion!Q3</f>
        <v>A+</v>
      </c>
      <c r="J7" s="15" t="str">
        <f>Simulacion!T3</f>
        <v>Mejora</v>
      </c>
    </row>
    <row r="8">
      <c r="A8" s="15">
        <f>Simulacion!A4</f>
        <v>60106450</v>
      </c>
      <c r="B8" s="15">
        <f>Simulacion!L4</f>
        <v>928.52</v>
      </c>
      <c r="C8" s="15">
        <f>Simulacion!K4</f>
        <v>880</v>
      </c>
      <c r="D8" s="15">
        <f t="shared" si="1"/>
        <v>48.52</v>
      </c>
      <c r="E8" s="15" t="str">
        <f t="shared" si="2"/>
        <v>HCPN &gt; PLATAM</v>
      </c>
      <c r="F8" s="15" t="str">
        <f>Simulacion!U4</f>
        <v>maduro</v>
      </c>
      <c r="G8" s="15" t="str">
        <f>Simulacion!V4</f>
        <v>excelente</v>
      </c>
      <c r="H8" s="15" t="str">
        <f>Simulacion!R4</f>
        <v>A</v>
      </c>
      <c r="I8" s="15" t="str">
        <f>Simulacion!Q4</f>
        <v>A</v>
      </c>
      <c r="J8" s="15" t="str">
        <f>Simulacion!T4</f>
        <v>Igual</v>
      </c>
    </row>
    <row r="9">
      <c r="A9" s="15">
        <f>Simulacion!A5</f>
        <v>34784923</v>
      </c>
      <c r="B9" s="15">
        <f>Simulacion!L5</f>
        <v>880.46</v>
      </c>
      <c r="C9" s="15">
        <f>Simulacion!K5</f>
        <v>1000</v>
      </c>
      <c r="D9" s="15">
        <f t="shared" si="1"/>
        <v>119.54</v>
      </c>
      <c r="E9" s="15" t="str">
        <f t="shared" si="2"/>
        <v>PLATAM &gt; HCPN</v>
      </c>
      <c r="F9" s="15" t="str">
        <f>Simulacion!U5</f>
        <v>maduro</v>
      </c>
      <c r="G9" s="15" t="str">
        <f>Simulacion!V5</f>
        <v>excelente</v>
      </c>
      <c r="H9" s="15" t="str">
        <f>Simulacion!R5</f>
        <v>A+</v>
      </c>
      <c r="I9" s="15" t="str">
        <f>Simulacion!Q5</f>
        <v>A+</v>
      </c>
      <c r="J9" s="15" t="str">
        <f>Simulacion!T5</f>
        <v>Mejora</v>
      </c>
    </row>
    <row r="10">
      <c r="A10" s="15">
        <f>Simulacion!A6</f>
        <v>41431975</v>
      </c>
      <c r="B10" s="15">
        <f>Simulacion!L6</f>
        <v>916.25</v>
      </c>
      <c r="C10" s="15">
        <f>Simulacion!K6</f>
        <v>930</v>
      </c>
      <c r="D10" s="15">
        <f t="shared" si="1"/>
        <v>13.75</v>
      </c>
      <c r="E10" s="15" t="str">
        <f t="shared" si="2"/>
        <v>PLATAM &gt; HCPN</v>
      </c>
      <c r="F10" s="15" t="str">
        <f>Simulacion!U6</f>
        <v>maduro</v>
      </c>
      <c r="G10" s="15" t="str">
        <f>Simulacion!V6</f>
        <v>excelente</v>
      </c>
      <c r="H10" s="15" t="str">
        <f>Simulacion!R6</f>
        <v>A+</v>
      </c>
      <c r="I10" s="15" t="str">
        <f>Simulacion!Q6</f>
        <v>A+</v>
      </c>
      <c r="J10" s="15" t="str">
        <f>Simulacion!T6</f>
        <v>Igual</v>
      </c>
    </row>
    <row r="11">
      <c r="A11" s="15">
        <f>Simulacion!A7</f>
        <v>70333861</v>
      </c>
      <c r="B11" s="15">
        <f>Simulacion!L7</f>
        <v>909.79</v>
      </c>
      <c r="C11" s="15">
        <f>Simulacion!K7</f>
        <v>880</v>
      </c>
      <c r="D11" s="15">
        <f t="shared" si="1"/>
        <v>29.79</v>
      </c>
      <c r="E11" s="15" t="str">
        <f t="shared" si="2"/>
        <v>HCPN &gt; PLATAM</v>
      </c>
      <c r="F11" s="15" t="str">
        <f>Simulacion!U7</f>
        <v>establecido</v>
      </c>
      <c r="G11" s="15" t="str">
        <f>Simulacion!V7</f>
        <v>excelente</v>
      </c>
      <c r="H11" s="15" t="str">
        <f>Simulacion!R7</f>
        <v>A</v>
      </c>
      <c r="I11" s="15" t="str">
        <f>Simulacion!Q7</f>
        <v>A</v>
      </c>
      <c r="J11" s="15" t="str">
        <f>Simulacion!T7</f>
        <v>Igual</v>
      </c>
    </row>
    <row r="12">
      <c r="A12" s="15">
        <f>Simulacion!A8</f>
        <v>19016961</v>
      </c>
      <c r="B12" s="15">
        <f>Simulacion!L8</f>
        <v>885.68</v>
      </c>
      <c r="C12" s="15">
        <f>Simulacion!K8</f>
        <v>1000</v>
      </c>
      <c r="D12" s="15">
        <f t="shared" si="1"/>
        <v>114.32</v>
      </c>
      <c r="E12" s="15" t="str">
        <f t="shared" si="2"/>
        <v>PLATAM &gt; HCPN</v>
      </c>
      <c r="F12" s="15" t="str">
        <f>Simulacion!U8</f>
        <v>maduro</v>
      </c>
      <c r="G12" s="15" t="str">
        <f>Simulacion!V8</f>
        <v>excelente</v>
      </c>
      <c r="H12" s="15" t="str">
        <f>Simulacion!R8</f>
        <v>A+</v>
      </c>
      <c r="I12" s="15" t="str">
        <f>Simulacion!Q8</f>
        <v>A+</v>
      </c>
      <c r="J12" s="15" t="str">
        <f>Simulacion!T8</f>
        <v>Mejora</v>
      </c>
    </row>
    <row r="13">
      <c r="A13" s="15">
        <f>Simulacion!A9</f>
        <v>12633705</v>
      </c>
      <c r="B13" s="15">
        <f>Simulacion!L9</f>
        <v>851.41</v>
      </c>
      <c r="C13" s="15">
        <f>Simulacion!K9</f>
        <v>880</v>
      </c>
      <c r="D13" s="15">
        <f t="shared" si="1"/>
        <v>28.59</v>
      </c>
      <c r="E13" s="15" t="str">
        <f t="shared" si="2"/>
        <v>PLATAM &gt; HCPN</v>
      </c>
      <c r="F13" s="15" t="str">
        <f>Simulacion!U9</f>
        <v>maduro</v>
      </c>
      <c r="G13" s="15" t="str">
        <f>Simulacion!V9</f>
        <v>excelente</v>
      </c>
      <c r="H13" s="15" t="str">
        <f>Simulacion!R9</f>
        <v>A</v>
      </c>
      <c r="I13" s="15" t="str">
        <f>Simulacion!Q9</f>
        <v>A</v>
      </c>
      <c r="J13" s="15" t="str">
        <f>Simulacion!T9</f>
        <v>Igual</v>
      </c>
    </row>
    <row r="14">
      <c r="A14" s="15">
        <f>Simulacion!A10</f>
        <v>99166838</v>
      </c>
      <c r="B14" s="15">
        <f>Simulacion!L10</f>
        <v>894.95</v>
      </c>
      <c r="C14" s="15">
        <f>Simulacion!K10</f>
        <v>950</v>
      </c>
      <c r="D14" s="15">
        <f t="shared" si="1"/>
        <v>55.05</v>
      </c>
      <c r="E14" s="15" t="str">
        <f t="shared" si="2"/>
        <v>PLATAM &gt; HCPN</v>
      </c>
      <c r="F14" s="15" t="str">
        <f>Simulacion!U10</f>
        <v>maduro</v>
      </c>
      <c r="G14" s="15" t="str">
        <f>Simulacion!V10</f>
        <v>excelente</v>
      </c>
      <c r="H14" s="15" t="str">
        <f>Simulacion!R10</f>
        <v>A+</v>
      </c>
      <c r="I14" s="15" t="str">
        <f>Simulacion!Q10</f>
        <v>A+</v>
      </c>
      <c r="J14" s="15" t="str">
        <f>Simulacion!T10</f>
        <v>Mejora</v>
      </c>
    </row>
    <row r="15">
      <c r="A15" s="15">
        <f>Simulacion!A11</f>
        <v>92217102</v>
      </c>
      <c r="B15" s="15">
        <f>Simulacion!L11</f>
        <v>921.32</v>
      </c>
      <c r="C15" s="15">
        <f>Simulacion!K11</f>
        <v>1000</v>
      </c>
      <c r="D15" s="15">
        <f t="shared" si="1"/>
        <v>78.68</v>
      </c>
      <c r="E15" s="15" t="str">
        <f t="shared" si="2"/>
        <v>PLATAM &gt; HCPN</v>
      </c>
      <c r="F15" s="15" t="str">
        <f>Simulacion!U11</f>
        <v>establecido</v>
      </c>
      <c r="G15" s="15" t="str">
        <f>Simulacion!V11</f>
        <v>excelente</v>
      </c>
      <c r="H15" s="15" t="str">
        <f>Simulacion!R11</f>
        <v>A+</v>
      </c>
      <c r="I15" s="15" t="str">
        <f>Simulacion!Q11</f>
        <v>A+</v>
      </c>
      <c r="J15" s="15" t="str">
        <f>Simulacion!T11</f>
        <v>Mejora</v>
      </c>
    </row>
    <row r="16">
      <c r="A16" s="15">
        <f>Simulacion!A12</f>
        <v>11204918</v>
      </c>
      <c r="B16" s="15">
        <f>Simulacion!L12</f>
        <v>853.14</v>
      </c>
      <c r="C16" s="15">
        <f>Simulacion!K12</f>
        <v>880</v>
      </c>
      <c r="D16" s="15">
        <f t="shared" si="1"/>
        <v>26.86</v>
      </c>
      <c r="E16" s="15" t="str">
        <f t="shared" si="2"/>
        <v>PLATAM &gt; HCPN</v>
      </c>
      <c r="F16" s="15" t="str">
        <f>Simulacion!U12</f>
        <v>establecido</v>
      </c>
      <c r="G16" s="15" t="str">
        <f>Simulacion!V12</f>
        <v>excelente</v>
      </c>
      <c r="H16" s="15" t="str">
        <f>Simulacion!R12</f>
        <v>A</v>
      </c>
      <c r="I16" s="15" t="str">
        <f>Simulacion!Q12</f>
        <v>A</v>
      </c>
      <c r="J16" s="15" t="str">
        <f>Simulacion!T12</f>
        <v>Igual</v>
      </c>
    </row>
    <row r="17">
      <c r="A17" s="15">
        <f>Simulacion!A13</f>
        <v>23938272</v>
      </c>
      <c r="B17" s="15">
        <f>Simulacion!L13</f>
        <v>878.98</v>
      </c>
      <c r="C17" s="15">
        <f>Simulacion!K13</f>
        <v>1000</v>
      </c>
      <c r="D17" s="15">
        <f t="shared" si="1"/>
        <v>121.02</v>
      </c>
      <c r="E17" s="15" t="str">
        <f t="shared" si="2"/>
        <v>PLATAM &gt; HCPN</v>
      </c>
      <c r="F17" s="15" t="str">
        <f>Simulacion!U13</f>
        <v>maduro</v>
      </c>
      <c r="G17" s="15" t="str">
        <f>Simulacion!V13</f>
        <v>excelente</v>
      </c>
      <c r="H17" s="15" t="str">
        <f>Simulacion!R13</f>
        <v>A+</v>
      </c>
      <c r="I17" s="15" t="str">
        <f>Simulacion!Q13</f>
        <v>A+</v>
      </c>
      <c r="J17" s="15" t="str">
        <f>Simulacion!T13</f>
        <v>Igual</v>
      </c>
    </row>
    <row r="18">
      <c r="A18" s="15">
        <f>Simulacion!A14</f>
        <v>84500962</v>
      </c>
      <c r="B18" s="15">
        <f>Simulacion!L14</f>
        <v>903.93</v>
      </c>
      <c r="C18" s="15">
        <f>Simulacion!K14</f>
        <v>950</v>
      </c>
      <c r="D18" s="15">
        <f t="shared" si="1"/>
        <v>46.07</v>
      </c>
      <c r="E18" s="15" t="str">
        <f t="shared" si="2"/>
        <v>PLATAM &gt; HCPN</v>
      </c>
      <c r="F18" s="15" t="str">
        <f>Simulacion!U14</f>
        <v>establecido</v>
      </c>
      <c r="G18" s="15" t="str">
        <f>Simulacion!V14</f>
        <v>excelente</v>
      </c>
      <c r="H18" s="15" t="str">
        <f>Simulacion!R14</f>
        <v>A+</v>
      </c>
      <c r="I18" s="15" t="str">
        <f>Simulacion!Q14</f>
        <v>A+</v>
      </c>
      <c r="J18" s="15" t="str">
        <f>Simulacion!T14</f>
        <v>Igual</v>
      </c>
    </row>
    <row r="19">
      <c r="A19" s="15">
        <f>Simulacion!A15</f>
        <v>56793551</v>
      </c>
      <c r="B19" s="15">
        <f>Simulacion!L15</f>
        <v>850.7</v>
      </c>
      <c r="C19" s="15">
        <f>Simulacion!K15</f>
        <v>950</v>
      </c>
      <c r="D19" s="15">
        <f t="shared" si="1"/>
        <v>99.3</v>
      </c>
      <c r="E19" s="15" t="str">
        <f t="shared" si="2"/>
        <v>PLATAM &gt; HCPN</v>
      </c>
      <c r="F19" s="15" t="str">
        <f>Simulacion!U15</f>
        <v>maduro</v>
      </c>
      <c r="G19" s="15" t="str">
        <f>Simulacion!V15</f>
        <v>excelente</v>
      </c>
      <c r="H19" s="15" t="str">
        <f>Simulacion!R15</f>
        <v>A+</v>
      </c>
      <c r="I19" s="15" t="str">
        <f>Simulacion!Q15</f>
        <v>A+</v>
      </c>
      <c r="J19" s="15" t="str">
        <f>Simulacion!T15</f>
        <v>Igual</v>
      </c>
    </row>
    <row r="20">
      <c r="A20" s="15">
        <f>Simulacion!A16</f>
        <v>69658225</v>
      </c>
      <c r="B20" s="15">
        <f>Simulacion!L16</f>
        <v>920.3</v>
      </c>
      <c r="C20" s="15">
        <f>Simulacion!K16</f>
        <v>950</v>
      </c>
      <c r="D20" s="15">
        <f t="shared" si="1"/>
        <v>29.7</v>
      </c>
      <c r="E20" s="15" t="str">
        <f t="shared" si="2"/>
        <v>PLATAM &gt; HCPN</v>
      </c>
      <c r="F20" s="15" t="str">
        <f>Simulacion!U16</f>
        <v>maduro</v>
      </c>
      <c r="G20" s="15" t="str">
        <f>Simulacion!V16</f>
        <v>excelente</v>
      </c>
      <c r="H20" s="15" t="str">
        <f>Simulacion!R16</f>
        <v>A+</v>
      </c>
      <c r="I20" s="15" t="str">
        <f>Simulacion!Q16</f>
        <v>A+</v>
      </c>
      <c r="J20" s="15" t="str">
        <f>Simulacion!T16</f>
        <v>Igual</v>
      </c>
    </row>
    <row r="21" ht="15.75" customHeight="1">
      <c r="A21" s="15">
        <f>Simulacion!A17</f>
        <v>28567316</v>
      </c>
      <c r="B21" s="15">
        <f>Simulacion!L17</f>
        <v>891.1</v>
      </c>
      <c r="C21" s="15">
        <f>Simulacion!K17</f>
        <v>880</v>
      </c>
      <c r="D21" s="15">
        <f t="shared" si="1"/>
        <v>11.1</v>
      </c>
      <c r="E21" s="15" t="str">
        <f t="shared" si="2"/>
        <v>HCPN &gt; PLATAM</v>
      </c>
      <c r="F21" s="15" t="str">
        <f>Simulacion!U17</f>
        <v>maduro</v>
      </c>
      <c r="G21" s="15" t="str">
        <f>Simulacion!V17</f>
        <v>excelente</v>
      </c>
      <c r="H21" s="15" t="str">
        <f>Simulacion!R17</f>
        <v>A</v>
      </c>
      <c r="I21" s="15" t="str">
        <f>Simulacion!Q17</f>
        <v>A</v>
      </c>
      <c r="J21" s="15" t="str">
        <f>Simulacion!T17</f>
        <v>Igual</v>
      </c>
    </row>
    <row r="22" ht="15.75" customHeight="1">
      <c r="A22" s="15">
        <f>Simulacion!A18</f>
        <v>61860758</v>
      </c>
      <c r="B22" s="15">
        <f>Simulacion!L18</f>
        <v>858.09</v>
      </c>
      <c r="C22" s="15">
        <f>Simulacion!K18</f>
        <v>950</v>
      </c>
      <c r="D22" s="15">
        <f t="shared" si="1"/>
        <v>91.91</v>
      </c>
      <c r="E22" s="15" t="str">
        <f t="shared" si="2"/>
        <v>PLATAM &gt; HCPN</v>
      </c>
      <c r="F22" s="15" t="str">
        <f>Simulacion!U18</f>
        <v>maduro</v>
      </c>
      <c r="G22" s="15" t="str">
        <f>Simulacion!V18</f>
        <v>excelente</v>
      </c>
      <c r="H22" s="15" t="str">
        <f>Simulacion!R18</f>
        <v>A+</v>
      </c>
      <c r="I22" s="15" t="str">
        <f>Simulacion!Q18</f>
        <v>A+</v>
      </c>
      <c r="J22" s="15" t="str">
        <f>Simulacion!T18</f>
        <v>Mejora</v>
      </c>
    </row>
    <row r="23" ht="15.75" customHeight="1">
      <c r="A23" s="15">
        <f>Simulacion!A19</f>
        <v>53536856</v>
      </c>
      <c r="B23" s="15">
        <f>Simulacion!L19</f>
        <v>865.07</v>
      </c>
      <c r="C23" s="15">
        <f>Simulacion!K19</f>
        <v>1000</v>
      </c>
      <c r="D23" s="15">
        <f t="shared" si="1"/>
        <v>134.93</v>
      </c>
      <c r="E23" s="15" t="str">
        <f t="shared" si="2"/>
        <v>PLATAM &gt; HCPN</v>
      </c>
      <c r="F23" s="15" t="str">
        <f>Simulacion!U19</f>
        <v>maduro</v>
      </c>
      <c r="G23" s="15" t="str">
        <f>Simulacion!V19</f>
        <v>excelente</v>
      </c>
      <c r="H23" s="15" t="str">
        <f>Simulacion!R19</f>
        <v>A+</v>
      </c>
      <c r="I23" s="15" t="str">
        <f>Simulacion!Q19</f>
        <v>A+</v>
      </c>
      <c r="J23" s="15" t="str">
        <f>Simulacion!T19</f>
        <v>Mejora</v>
      </c>
    </row>
    <row r="24" ht="15.75" customHeight="1">
      <c r="A24" s="15">
        <f>Simulacion!A20</f>
        <v>78113060</v>
      </c>
      <c r="B24" s="15">
        <f>Simulacion!L20</f>
        <v>859.62</v>
      </c>
      <c r="C24" s="15">
        <f>Simulacion!K20</f>
        <v>930</v>
      </c>
      <c r="D24" s="15">
        <f t="shared" si="1"/>
        <v>70.38</v>
      </c>
      <c r="E24" s="15" t="str">
        <f t="shared" si="2"/>
        <v>PLATAM &gt; HCPN</v>
      </c>
      <c r="F24" s="15" t="str">
        <f>Simulacion!U20</f>
        <v>establecido</v>
      </c>
      <c r="G24" s="15" t="str">
        <f>Simulacion!V20</f>
        <v>excelente</v>
      </c>
      <c r="H24" s="15" t="str">
        <f>Simulacion!R20</f>
        <v>A+</v>
      </c>
      <c r="I24" s="15" t="str">
        <f>Simulacion!Q20</f>
        <v>A+</v>
      </c>
      <c r="J24" s="15" t="str">
        <f>Simulacion!T20</f>
        <v>Mejora</v>
      </c>
    </row>
    <row r="25" ht="15.75" customHeight="1">
      <c r="A25" s="15">
        <f>Simulacion!A21</f>
        <v>46461125</v>
      </c>
      <c r="B25" s="15">
        <f>Simulacion!L21</f>
        <v>919.58</v>
      </c>
      <c r="C25" s="15">
        <f>Simulacion!K21</f>
        <v>950</v>
      </c>
      <c r="D25" s="15">
        <f t="shared" si="1"/>
        <v>30.42</v>
      </c>
      <c r="E25" s="15" t="str">
        <f t="shared" si="2"/>
        <v>PLATAM &gt; HCPN</v>
      </c>
      <c r="F25" s="15" t="str">
        <f>Simulacion!U21</f>
        <v>maduro</v>
      </c>
      <c r="G25" s="15" t="str">
        <f>Simulacion!V21</f>
        <v>excelente</v>
      </c>
      <c r="H25" s="15" t="str">
        <f>Simulacion!R21</f>
        <v>A+</v>
      </c>
      <c r="I25" s="15" t="str">
        <f>Simulacion!Q21</f>
        <v>A+</v>
      </c>
      <c r="J25" s="15" t="str">
        <f>Simulacion!T21</f>
        <v>Igual</v>
      </c>
    </row>
    <row r="26" ht="15.75" customHeight="1">
      <c r="A26" s="15">
        <f>Simulacion!A22</f>
        <v>70517387</v>
      </c>
      <c r="B26" s="15">
        <f>Simulacion!L22</f>
        <v>938.26</v>
      </c>
      <c r="C26" s="15">
        <f>Simulacion!K22</f>
        <v>1000</v>
      </c>
      <c r="D26" s="15">
        <f t="shared" si="1"/>
        <v>61.74</v>
      </c>
      <c r="E26" s="15" t="str">
        <f t="shared" si="2"/>
        <v>PLATAM &gt; HCPN</v>
      </c>
      <c r="F26" s="15" t="str">
        <f>Simulacion!U22</f>
        <v>maduro</v>
      </c>
      <c r="G26" s="15" t="str">
        <f>Simulacion!V22</f>
        <v>excelente</v>
      </c>
      <c r="H26" s="15" t="str">
        <f>Simulacion!R22</f>
        <v>A+</v>
      </c>
      <c r="I26" s="15" t="str">
        <f>Simulacion!Q22</f>
        <v>A+</v>
      </c>
      <c r="J26" s="15" t="str">
        <f>Simulacion!T22</f>
        <v>Mejora</v>
      </c>
    </row>
    <row r="27" ht="15.75" customHeight="1">
      <c r="A27" s="15">
        <f>Simulacion!A23</f>
        <v>56506693</v>
      </c>
      <c r="B27" s="15">
        <f>Simulacion!L23</f>
        <v>943.56</v>
      </c>
      <c r="C27" s="15">
        <f>Simulacion!K23</f>
        <v>1000</v>
      </c>
      <c r="D27" s="15">
        <f t="shared" si="1"/>
        <v>56.44</v>
      </c>
      <c r="E27" s="15" t="str">
        <f t="shared" si="2"/>
        <v>PLATAM &gt; HCPN</v>
      </c>
      <c r="F27" s="15" t="str">
        <f>Simulacion!U23</f>
        <v>establecido</v>
      </c>
      <c r="G27" s="15" t="str">
        <f>Simulacion!V23</f>
        <v>excelente</v>
      </c>
      <c r="H27" s="15" t="str">
        <f>Simulacion!R23</f>
        <v>A+</v>
      </c>
      <c r="I27" s="15" t="str">
        <f>Simulacion!Q23</f>
        <v>A+</v>
      </c>
      <c r="J27" s="15" t="str">
        <f>Simulacion!T23</f>
        <v>Mejora</v>
      </c>
    </row>
    <row r="28" ht="15.75" customHeight="1">
      <c r="A28" s="15">
        <f>Simulacion!A24</f>
        <v>32823050</v>
      </c>
      <c r="B28" s="15">
        <f>Simulacion!L24</f>
        <v>898.56</v>
      </c>
      <c r="C28" s="15">
        <f>Simulacion!K24</f>
        <v>950</v>
      </c>
      <c r="D28" s="15">
        <f t="shared" si="1"/>
        <v>51.44</v>
      </c>
      <c r="E28" s="15" t="str">
        <f t="shared" si="2"/>
        <v>PLATAM &gt; HCPN</v>
      </c>
      <c r="F28" s="15" t="str">
        <f>Simulacion!U24</f>
        <v>maduro</v>
      </c>
      <c r="G28" s="15" t="str">
        <f>Simulacion!V24</f>
        <v>excelente</v>
      </c>
      <c r="H28" s="15" t="str">
        <f>Simulacion!R24</f>
        <v>A+</v>
      </c>
      <c r="I28" s="15" t="str">
        <f>Simulacion!Q24</f>
        <v>A+</v>
      </c>
      <c r="J28" s="15" t="str">
        <f>Simulacion!T24</f>
        <v>Mejora</v>
      </c>
    </row>
    <row r="29" ht="15.75" customHeight="1">
      <c r="A29" s="15">
        <f>Simulacion!A25</f>
        <v>58739269</v>
      </c>
      <c r="B29" s="15">
        <f>Simulacion!L25</f>
        <v>915.76</v>
      </c>
      <c r="C29" s="15">
        <f>Simulacion!K25</f>
        <v>930</v>
      </c>
      <c r="D29" s="15">
        <f t="shared" si="1"/>
        <v>14.24</v>
      </c>
      <c r="E29" s="15" t="str">
        <f t="shared" si="2"/>
        <v>PLATAM &gt; HCPN</v>
      </c>
      <c r="F29" s="15" t="str">
        <f>Simulacion!U25</f>
        <v>maduro</v>
      </c>
      <c r="G29" s="15" t="str">
        <f>Simulacion!V25</f>
        <v>excelente</v>
      </c>
      <c r="H29" s="15" t="str">
        <f>Simulacion!R25</f>
        <v>A+</v>
      </c>
      <c r="I29" s="15" t="str">
        <f>Simulacion!Q25</f>
        <v>A+</v>
      </c>
      <c r="J29" s="15" t="str">
        <f>Simulacion!T25</f>
        <v>Igual</v>
      </c>
    </row>
    <row r="30" ht="15.75" customHeight="1">
      <c r="A30" s="15">
        <f>Simulacion!A26</f>
        <v>69736690</v>
      </c>
      <c r="B30" s="15">
        <f>Simulacion!L26</f>
        <v>913.11</v>
      </c>
      <c r="C30" s="15">
        <f>Simulacion!K26</f>
        <v>950</v>
      </c>
      <c r="D30" s="15">
        <f t="shared" si="1"/>
        <v>36.89</v>
      </c>
      <c r="E30" s="15" t="str">
        <f t="shared" si="2"/>
        <v>PLATAM &gt; HCPN</v>
      </c>
      <c r="F30" s="15" t="str">
        <f>Simulacion!U26</f>
        <v>establecido</v>
      </c>
      <c r="G30" s="15" t="str">
        <f>Simulacion!V26</f>
        <v>excelente</v>
      </c>
      <c r="H30" s="15" t="str">
        <f>Simulacion!R26</f>
        <v>A+</v>
      </c>
      <c r="I30" s="15" t="str">
        <f>Simulacion!Q26</f>
        <v>A+</v>
      </c>
      <c r="J30" s="15" t="str">
        <f>Simulacion!T26</f>
        <v>Igual</v>
      </c>
    </row>
    <row r="31" ht="15.75" customHeight="1">
      <c r="A31" s="15">
        <f>Simulacion!A27</f>
        <v>40049387</v>
      </c>
      <c r="B31" s="15">
        <f>Simulacion!L27</f>
        <v>914.55</v>
      </c>
      <c r="C31" s="15">
        <f>Simulacion!K27</f>
        <v>1000</v>
      </c>
      <c r="D31" s="15">
        <f t="shared" si="1"/>
        <v>85.45</v>
      </c>
      <c r="E31" s="15" t="str">
        <f t="shared" si="2"/>
        <v>PLATAM &gt; HCPN</v>
      </c>
      <c r="F31" s="15" t="str">
        <f>Simulacion!U27</f>
        <v>maduro</v>
      </c>
      <c r="G31" s="15" t="str">
        <f>Simulacion!V27</f>
        <v>excelente</v>
      </c>
      <c r="H31" s="15" t="str">
        <f>Simulacion!R27</f>
        <v>A+</v>
      </c>
      <c r="I31" s="15" t="str">
        <f>Simulacion!Q27</f>
        <v>A+</v>
      </c>
      <c r="J31" s="15" t="str">
        <f>Simulacion!T27</f>
        <v>Mejora</v>
      </c>
    </row>
    <row r="32" ht="15.75" customHeight="1">
      <c r="A32" s="15">
        <f>Simulacion!A28</f>
        <v>62681427</v>
      </c>
      <c r="B32" s="15">
        <f>Simulacion!L28</f>
        <v>946.67</v>
      </c>
      <c r="C32" s="15">
        <f>Simulacion!K28</f>
        <v>1000</v>
      </c>
      <c r="D32" s="15">
        <f t="shared" si="1"/>
        <v>53.33</v>
      </c>
      <c r="E32" s="15" t="str">
        <f t="shared" si="2"/>
        <v>PLATAM &gt; HCPN</v>
      </c>
      <c r="F32" s="15" t="str">
        <f>Simulacion!U28</f>
        <v>establecido</v>
      </c>
      <c r="G32" s="15" t="str">
        <f>Simulacion!V28</f>
        <v>excelente</v>
      </c>
      <c r="H32" s="15" t="str">
        <f>Simulacion!R28</f>
        <v>A+</v>
      </c>
      <c r="I32" s="15" t="str">
        <f>Simulacion!Q28</f>
        <v>A+</v>
      </c>
      <c r="J32" s="15" t="str">
        <f>Simulacion!T28</f>
        <v>Mejora</v>
      </c>
    </row>
    <row r="33" ht="15.75" customHeight="1">
      <c r="A33" s="15">
        <f>Simulacion!A29</f>
        <v>20813392</v>
      </c>
      <c r="B33" s="15">
        <f>Simulacion!L29</f>
        <v>943.62</v>
      </c>
      <c r="C33" s="15">
        <f>Simulacion!K29</f>
        <v>880</v>
      </c>
      <c r="D33" s="15">
        <f t="shared" si="1"/>
        <v>63.62</v>
      </c>
      <c r="E33" s="15" t="str">
        <f t="shared" si="2"/>
        <v>HCPN &gt; PLATAM</v>
      </c>
      <c r="F33" s="15" t="str">
        <f>Simulacion!U29</f>
        <v>establecido</v>
      </c>
      <c r="G33" s="15" t="str">
        <f>Simulacion!V29</f>
        <v>excelente</v>
      </c>
      <c r="H33" s="15" t="str">
        <f>Simulacion!R29</f>
        <v>A+</v>
      </c>
      <c r="I33" s="15" t="str">
        <f>Simulacion!Q29</f>
        <v>A</v>
      </c>
      <c r="J33" s="15" t="str">
        <f>Simulacion!T29</f>
        <v>Empeora</v>
      </c>
    </row>
    <row r="34" ht="15.75" customHeight="1">
      <c r="A34" s="15">
        <f>Simulacion!A30</f>
        <v>46083968</v>
      </c>
      <c r="B34" s="15">
        <f>Simulacion!L30</f>
        <v>924.08</v>
      </c>
      <c r="C34" s="15">
        <f>Simulacion!K30</f>
        <v>930</v>
      </c>
      <c r="D34" s="15">
        <f t="shared" si="1"/>
        <v>5.92</v>
      </c>
      <c r="E34" s="15" t="str">
        <f t="shared" si="2"/>
        <v>PLATAM &gt; HCPN</v>
      </c>
      <c r="F34" s="15" t="str">
        <f>Simulacion!U30</f>
        <v>establecido</v>
      </c>
      <c r="G34" s="15" t="str">
        <f>Simulacion!V30</f>
        <v>excelente</v>
      </c>
      <c r="H34" s="15" t="str">
        <f>Simulacion!R30</f>
        <v>A+</v>
      </c>
      <c r="I34" s="15" t="str">
        <f>Simulacion!Q30</f>
        <v>A+</v>
      </c>
      <c r="J34" s="15" t="str">
        <f>Simulacion!T30</f>
        <v>Igual</v>
      </c>
    </row>
    <row r="35" ht="15.75" customHeight="1">
      <c r="A35" s="15">
        <f>Simulacion!A31</f>
        <v>63291059</v>
      </c>
      <c r="B35" s="15">
        <f>Simulacion!L31</f>
        <v>901.13</v>
      </c>
      <c r="C35" s="15">
        <f>Simulacion!K31</f>
        <v>950</v>
      </c>
      <c r="D35" s="15">
        <f t="shared" si="1"/>
        <v>48.87</v>
      </c>
      <c r="E35" s="15" t="str">
        <f t="shared" si="2"/>
        <v>PLATAM &gt; HCPN</v>
      </c>
      <c r="F35" s="15" t="str">
        <f>Simulacion!U31</f>
        <v>maduro</v>
      </c>
      <c r="G35" s="15" t="str">
        <f>Simulacion!V31</f>
        <v>excelente</v>
      </c>
      <c r="H35" s="15" t="str">
        <f>Simulacion!R31</f>
        <v>A+</v>
      </c>
      <c r="I35" s="15" t="str">
        <f>Simulacion!Q31</f>
        <v>A+</v>
      </c>
      <c r="J35" s="15" t="str">
        <f>Simulacion!T31</f>
        <v>Igual</v>
      </c>
    </row>
    <row r="36" ht="15.75" customHeight="1"/>
    <row r="37" ht="15.75" customHeight="1"/>
    <row r="38" ht="15.75" customHeight="1">
      <c r="A38" s="49" t="s">
        <v>202</v>
      </c>
    </row>
    <row r="39" ht="15.75" customHeight="1">
      <c r="A39" s="30" t="s">
        <v>203</v>
      </c>
      <c r="B39" s="30">
        <f>COUNTIF(Simulacion!S:S,"&gt;150")+COUNTIF(Simulacion!S:S,"&lt;-150")</f>
        <v>0</v>
      </c>
    </row>
    <row r="40" ht="15.75" customHeight="1">
      <c r="A40" s="30" t="s">
        <v>204</v>
      </c>
      <c r="B40" s="30">
        <f>SUMPRODUCT((Simulacion!L2:L201&gt;Simulacion!K2:K201)*(ABS(Simulacion!L2:L201-Simulacion!K2:K201)&gt;150)*1)</f>
        <v>117</v>
      </c>
    </row>
    <row r="41" ht="15.75" customHeight="1">
      <c r="A41" s="30" t="s">
        <v>205</v>
      </c>
      <c r="B41" s="30">
        <f>SUMPRODUCT((Simulacion!K2:K201&gt;Simulacion!L2:L201)*(ABS(Simulacion!L2:L201-Simulacion!K2:K201)&gt;150)*1)</f>
        <v>13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2025-12-29T20:32:23Z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