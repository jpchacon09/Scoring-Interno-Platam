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🎛️ PANEL DE CONTROL" sheetId="1" state="visible" r:id="rId1"/>
    <sheet xmlns:r="http://schemas.openxmlformats.org/officeDocument/2006/relationships" name="📊 Datos Originales" sheetId="2" state="visible" r:id="rId2"/>
    <sheet xmlns:r="http://schemas.openxmlformats.org/officeDocument/2006/relationships" name="🎯 Scores Simulados" sheetId="3" state="visible" r:id="rId3"/>
    <sheet xmlns:r="http://schemas.openxmlformats.org/officeDocument/2006/relationships" name="📈 Compar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C3E50"/>
      <sz val="16"/>
    </font>
    <font>
      <i val="1"/>
      <color rgb="007F8C8D"/>
      <sz val="10"/>
    </font>
    <font>
      <b val="1"/>
      <color rgb="00FFFFFF"/>
      <sz val="11"/>
    </font>
    <font>
      <b val="1"/>
    </font>
    <font>
      <b val="1"/>
      <color rgb="00E74C3C"/>
    </font>
    <font>
      <b val="1"/>
      <color rgb="0027AE60"/>
      <sz val="11"/>
    </font>
    <font>
      <i val="1"/>
      <sz val="9"/>
    </font>
    <font>
      <b val="1"/>
      <color rgb="00FFFFFF"/>
      <sz val="12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CF0F1"/>
        <bgColor rgb="00ECF0F1"/>
      </patternFill>
    </fill>
    <fill>
      <patternFill patternType="solid">
        <fgColor rgb="003498DB"/>
        <bgColor rgb="003498DB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3" borderId="0" pivotButton="0" quotePrefix="0" xfId="0"/>
    <xf numFmtId="0" fontId="3" fillId="4" borderId="0" pivotButton="0" quotePrefix="0" xfId="0"/>
    <xf numFmtId="9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9" fontId="4" fillId="0" borderId="0" pivotButton="0" quotePrefix="0" xfId="0"/>
    <xf numFmtId="9" fontId="3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5" borderId="0" applyAlignment="1" pivotButton="0" quotePrefix="0" xfId="0">
      <alignment horizontal="center"/>
    </xf>
    <xf numFmtId="0" fontId="9" fillId="0" borderId="0" pivotButton="0" quotePrefix="0" xfId="0"/>
    <xf numFmtId="0" fontId="8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SIMULADOR DE SCORING PLATAM V2.0 + HÍBRIDO</t>
        </is>
      </c>
    </row>
    <row r="2">
      <c r="A2" s="2" t="inlineStr">
        <is>
          <t>Ajusta los parámetros abajo y los scores se recalcularán automáticamente</t>
        </is>
      </c>
    </row>
    <row r="4">
      <c r="A4" s="3" t="inlineStr">
        <is>
          <t>📊 PESOS DE COMPONENTES PLATAM V2.0</t>
        </is>
      </c>
    </row>
    <row r="5">
      <c r="A5" s="4" t="inlineStr">
        <is>
          <t>Parámetro</t>
        </is>
      </c>
      <c r="B5" s="4" t="inlineStr">
        <is>
          <t>Valor Actual</t>
        </is>
      </c>
      <c r="C5" s="4" t="inlineStr">
        <is>
          <t>Máximo</t>
        </is>
      </c>
      <c r="D5" s="4" t="inlineStr">
        <is>
          <t>% del Total</t>
        </is>
      </c>
    </row>
    <row r="6">
      <c r="A6" t="inlineStr">
        <is>
          <t>Payment Performance (pts)</t>
        </is>
      </c>
      <c r="B6" s="5" t="n">
        <v>600</v>
      </c>
      <c r="C6" t="n">
        <v>1000</v>
      </c>
      <c r="D6" s="6">
        <f>B6/1000</f>
        <v/>
      </c>
    </row>
    <row r="7">
      <c r="A7" t="inlineStr">
        <is>
          <t>Payment Plan History (pts)</t>
        </is>
      </c>
      <c r="B7" s="5" t="n">
        <v>150</v>
      </c>
      <c r="C7" t="n">
        <v>1000</v>
      </c>
      <c r="D7" s="6">
        <f>B7/1000</f>
        <v/>
      </c>
    </row>
    <row r="8">
      <c r="A8" t="inlineStr">
        <is>
          <t>Deterioration Velocity (pts)</t>
        </is>
      </c>
      <c r="B8" s="5" t="n">
        <v>250</v>
      </c>
      <c r="C8" t="n">
        <v>1000</v>
      </c>
      <c r="D8" s="6">
        <f>B8/1000</f>
        <v/>
      </c>
    </row>
    <row r="9">
      <c r="A9" s="7" t="inlineStr">
        <is>
          <t>TOTAL (debe sumar 1000)</t>
        </is>
      </c>
      <c r="B9" s="8">
        <f>B6+B7+B8</f>
        <v/>
      </c>
      <c r="D9" s="9">
        <f>B9/1000</f>
        <v/>
      </c>
    </row>
    <row r="11">
      <c r="A11" s="3" t="inlineStr">
        <is>
          <t>⚡ PENALIZACIONES Y BONIFICACIONES</t>
        </is>
      </c>
    </row>
    <row r="12">
      <c r="A12" s="4" t="inlineStr">
        <is>
          <t>Concepto</t>
        </is>
      </c>
      <c r="B12" s="4" t="inlineStr">
        <is>
          <t>Valor</t>
        </is>
      </c>
      <c r="C12" s="4" t="inlineStr">
        <is>
          <t>Unidad</t>
        </is>
      </c>
      <c r="D12" s="4" t="inlineStr">
        <is>
          <t>Descripción</t>
        </is>
      </c>
    </row>
    <row r="13">
      <c r="A13" t="inlineStr">
        <is>
          <t>Penalización DPD &gt;30 días</t>
        </is>
      </c>
      <c r="B13" s="5" t="n">
        <v>50</v>
      </c>
      <c r="C13" t="inlineStr">
        <is>
          <t>puntos</t>
        </is>
      </c>
      <c r="D13" t="inlineStr">
        <is>
          <t>Resta del score total</t>
        </is>
      </c>
    </row>
    <row r="14">
      <c r="A14" t="inlineStr">
        <is>
          <t>Bonificación &gt;90% pagos a tiempo</t>
        </is>
      </c>
      <c r="B14" s="5" t="n">
        <v>30</v>
      </c>
      <c r="C14" t="inlineStr">
        <is>
          <t>puntos</t>
        </is>
      </c>
      <c r="D14" t="inlineStr">
        <is>
          <t>Suma al score total</t>
        </is>
      </c>
    </row>
    <row r="15">
      <c r="A15" t="inlineStr">
        <is>
          <t>Penalización utilización &gt;80%</t>
        </is>
      </c>
      <c r="B15" s="5" t="n">
        <v>20</v>
      </c>
      <c r="C15" t="inlineStr">
        <is>
          <t>puntos</t>
        </is>
      </c>
      <c r="D15" t="inlineStr">
        <is>
          <t>Resta del score total</t>
        </is>
      </c>
    </row>
    <row r="16">
      <c r="A16" t="inlineStr">
        <is>
          <t>Bonificación cliente &gt;24 meses</t>
        </is>
      </c>
      <c r="B16" s="5" t="n">
        <v>25</v>
      </c>
      <c r="C16" t="inlineStr">
        <is>
          <t>puntos</t>
        </is>
      </c>
      <c r="D16" t="inlineStr">
        <is>
          <t>Suma al score total</t>
        </is>
      </c>
    </row>
    <row r="18">
      <c r="A18" s="3" t="inlineStr">
        <is>
          <t>🔄 PESOS DEL SISTEMA HÍBRIDO</t>
        </is>
      </c>
    </row>
    <row r="19">
      <c r="A19" s="4" t="inlineStr">
        <is>
          <t>Categoría Cliente</t>
        </is>
      </c>
      <c r="B19" s="4" t="inlineStr">
        <is>
          <t>Peso PLATAM</t>
        </is>
      </c>
      <c r="C19" s="4" t="inlineStr">
        <is>
          <t>Peso HCPN</t>
        </is>
      </c>
      <c r="D19" s="4" t="inlineStr">
        <is>
          <t>Total</t>
        </is>
      </c>
    </row>
    <row r="20">
      <c r="A20" t="inlineStr">
        <is>
          <t>Muy Nuevo (&lt; 3 meses)</t>
        </is>
      </c>
      <c r="B20" s="10" t="n">
        <v>0.3</v>
      </c>
      <c r="C20" s="6">
        <f>1-B20</f>
        <v/>
      </c>
      <c r="D20" s="6">
        <f>B20+C20</f>
        <v/>
      </c>
    </row>
    <row r="21">
      <c r="A21" t="inlineStr">
        <is>
          <t>Nuevo (3-6 meses)</t>
        </is>
      </c>
      <c r="B21" s="10" t="n">
        <v>0.4</v>
      </c>
      <c r="C21" s="6">
        <f>1-B21</f>
        <v/>
      </c>
      <c r="D21" s="6">
        <f>B21+C21</f>
        <v/>
      </c>
    </row>
    <row r="22">
      <c r="A22" t="inlineStr">
        <is>
          <t>Intermedio (6-12 meses)</t>
        </is>
      </c>
      <c r="B22" s="10" t="n">
        <v>0.5</v>
      </c>
      <c r="C22" s="6">
        <f>1-B22</f>
        <v/>
      </c>
      <c r="D22" s="6">
        <f>B22+C22</f>
        <v/>
      </c>
    </row>
    <row r="23">
      <c r="A23" t="inlineStr">
        <is>
          <t>Establecido (12-24 meses)</t>
        </is>
      </c>
      <c r="B23" s="10" t="n">
        <v>0.6</v>
      </c>
      <c r="C23" s="6">
        <f>1-B23</f>
        <v/>
      </c>
      <c r="D23" s="6">
        <f>B23+C23</f>
        <v/>
      </c>
    </row>
    <row r="24">
      <c r="A24" t="inlineStr">
        <is>
          <t>Maduro (&gt; 24 meses)</t>
        </is>
      </c>
      <c r="B24" s="10" t="n">
        <v>0.7</v>
      </c>
      <c r="C24" s="6">
        <f>1-B24</f>
        <v/>
      </c>
      <c r="D24" s="6">
        <f>B24+C24</f>
        <v/>
      </c>
    </row>
    <row r="26">
      <c r="A26" s="3" t="inlineStr">
        <is>
          <t>📏 UMBRALES DE CATEGORIZACIÓN</t>
        </is>
      </c>
    </row>
    <row r="27">
      <c r="A27" s="4" t="inlineStr">
        <is>
          <t>Rating</t>
        </is>
      </c>
      <c r="B27" s="4" t="inlineStr">
        <is>
          <t>Score Mínimo</t>
        </is>
      </c>
      <c r="C27" s="4" t="inlineStr">
        <is>
          <t>Score Máximo</t>
        </is>
      </c>
      <c r="D27" s="4" t="inlineStr">
        <is>
          <t>Descripción</t>
        </is>
      </c>
    </row>
    <row r="28">
      <c r="A28" t="inlineStr">
        <is>
          <t>A+</t>
        </is>
      </c>
      <c r="B28" s="5" t="n">
        <v>900</v>
      </c>
      <c r="C28" t="n">
        <v>1000</v>
      </c>
      <c r="D28" t="inlineStr">
        <is>
          <t>Excelente</t>
        </is>
      </c>
    </row>
    <row r="29">
      <c r="A29" t="inlineStr">
        <is>
          <t>A</t>
        </is>
      </c>
      <c r="B29" s="5" t="n">
        <v>850</v>
      </c>
      <c r="C29" t="n">
        <v>899</v>
      </c>
      <c r="D29" t="inlineStr">
        <is>
          <t>Muy Bueno</t>
        </is>
      </c>
    </row>
    <row r="30">
      <c r="A30" t="inlineStr">
        <is>
          <t>A-</t>
        </is>
      </c>
      <c r="B30" s="5" t="n">
        <v>800</v>
      </c>
      <c r="C30" t="n">
        <v>849</v>
      </c>
      <c r="D30" t="inlineStr">
        <is>
          <t>Bueno Superior</t>
        </is>
      </c>
    </row>
    <row r="31">
      <c r="A31" t="inlineStr">
        <is>
          <t>B+</t>
        </is>
      </c>
      <c r="B31" s="5" t="n">
        <v>750</v>
      </c>
      <c r="C31" t="n">
        <v>799</v>
      </c>
      <c r="D31" t="inlineStr">
        <is>
          <t>Bueno</t>
        </is>
      </c>
    </row>
    <row r="32">
      <c r="A32" t="inlineStr">
        <is>
          <t>B</t>
        </is>
      </c>
      <c r="B32" s="5" t="n">
        <v>700</v>
      </c>
      <c r="C32" t="n">
        <v>749</v>
      </c>
      <c r="D32" t="inlineStr">
        <is>
          <t>Aceptable Superior</t>
        </is>
      </c>
    </row>
    <row r="33">
      <c r="A33" t="inlineStr">
        <is>
          <t>B-</t>
        </is>
      </c>
      <c r="B33" s="5" t="n">
        <v>650</v>
      </c>
      <c r="C33" t="n">
        <v>699</v>
      </c>
      <c r="D33" t="inlineStr">
        <is>
          <t>Aceptable</t>
        </is>
      </c>
    </row>
    <row r="34">
      <c r="A34" t="inlineStr">
        <is>
          <t>C+</t>
        </is>
      </c>
      <c r="B34" s="5" t="n">
        <v>600</v>
      </c>
      <c r="C34" t="n">
        <v>649</v>
      </c>
      <c r="D34" t="inlineStr">
        <is>
          <t>Regular Superior</t>
        </is>
      </c>
    </row>
    <row r="35">
      <c r="A35" t="inlineStr">
        <is>
          <t>C</t>
        </is>
      </c>
      <c r="B35" s="5" t="n">
        <v>550</v>
      </c>
      <c r="C35" t="n">
        <v>599</v>
      </c>
      <c r="D35" t="inlineStr">
        <is>
          <t>Regular</t>
        </is>
      </c>
    </row>
    <row r="36">
      <c r="A36" t="inlineStr">
        <is>
          <t>C-</t>
        </is>
      </c>
      <c r="B36" s="5" t="n">
        <v>500</v>
      </c>
      <c r="C36" t="n">
        <v>549</v>
      </c>
      <c r="D36" t="inlineStr">
        <is>
          <t>Regular Bajo</t>
        </is>
      </c>
    </row>
    <row r="37">
      <c r="A37" t="inlineStr">
        <is>
          <t>D</t>
        </is>
      </c>
      <c r="B37" s="5" t="n">
        <v>400</v>
      </c>
      <c r="C37" t="n">
        <v>499</v>
      </c>
      <c r="D37" t="inlineStr">
        <is>
          <t>Deficiente</t>
        </is>
      </c>
    </row>
    <row r="38">
      <c r="A38" t="inlineStr">
        <is>
          <t>F</t>
        </is>
      </c>
      <c r="B38" s="5" t="n">
        <v>0</v>
      </c>
      <c r="C38" t="n">
        <v>399</v>
      </c>
      <c r="D38" t="inlineStr">
        <is>
          <t>Muy Deficiente</t>
        </is>
      </c>
    </row>
    <row r="40">
      <c r="A40" s="11" t="inlineStr">
        <is>
          <t>💡 INSTRUCCIONES:</t>
        </is>
      </c>
    </row>
    <row r="41">
      <c r="A41" s="12" t="inlineStr">
        <is>
          <t>1. Cambia los valores en las celdas AZULES</t>
        </is>
      </c>
    </row>
    <row r="42">
      <c r="A42" s="12" t="inlineStr">
        <is>
          <t>2. Los pesos de componentes deben sumar 1000 puntos</t>
        </is>
      </c>
    </row>
    <row r="43">
      <c r="A43" s="12" t="inlineStr">
        <is>
          <t>3. Los scores se recalcularán automáticamente en la hoja 'Scores Simulados'</t>
        </is>
      </c>
    </row>
    <row r="44">
      <c r="A44" s="12" t="inlineStr">
        <is>
          <t>4. Compara los resultados en la hoja 'Comparación'</t>
        </is>
      </c>
    </row>
    <row r="45">
      <c r="A45" s="12" t="inlineStr">
        <is>
          <t>5. Usa la hoja 'Análisis' para ver distribuciones</t>
        </is>
      </c>
    </row>
  </sheetData>
  <mergeCells count="12">
    <mergeCell ref="A1:D1"/>
    <mergeCell ref="A40:D40"/>
    <mergeCell ref="A18:D18"/>
    <mergeCell ref="A45:D45"/>
    <mergeCell ref="A4:D4"/>
    <mergeCell ref="A26:D26"/>
    <mergeCell ref="A43:D43"/>
    <mergeCell ref="A41:D41"/>
    <mergeCell ref="A2:D2"/>
    <mergeCell ref="A11:D11"/>
    <mergeCell ref="A42:D42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cedula</t>
        </is>
      </c>
      <c r="B1" s="13" t="inlineStr">
        <is>
          <t>client_name</t>
        </is>
      </c>
      <c r="C1" s="13" t="inlineStr">
        <is>
          <t>score_payment_performance</t>
        </is>
      </c>
      <c r="D1" s="13" t="inlineStr">
        <is>
          <t>score_payment_plan</t>
        </is>
      </c>
      <c r="E1" s="13" t="inlineStr">
        <is>
          <t>score_deterioration</t>
        </is>
      </c>
      <c r="F1" s="13" t="inlineStr">
        <is>
          <t>platam_score</t>
        </is>
      </c>
      <c r="G1" s="13" t="inlineStr">
        <is>
          <t>platam_rating</t>
        </is>
      </c>
      <c r="H1" s="13" t="inlineStr">
        <is>
          <t>experian_score_normalized</t>
        </is>
      </c>
      <c r="I1" s="13" t="inlineStr">
        <is>
          <t>hybrid_score</t>
        </is>
      </c>
      <c r="J1" s="13" t="inlineStr">
        <is>
          <t>hybrid_rating</t>
        </is>
      </c>
      <c r="K1" s="13" t="inlineStr">
        <is>
          <t>payment_id_count</t>
        </is>
      </c>
      <c r="L1" s="13" t="inlineStr">
        <is>
          <t>days_past_due_mean</t>
        </is>
      </c>
      <c r="M1" s="13" t="inlineStr">
        <is>
          <t>pct_late</t>
        </is>
      </c>
      <c r="N1" s="13" t="inlineStr">
        <is>
          <t>pct_utilization</t>
        </is>
      </c>
      <c r="O1" s="13" t="inlineStr">
        <is>
          <t>months_as_client</t>
        </is>
      </c>
      <c r="P1" s="13" t="inlineStr">
        <is>
          <t>categoria_madurez</t>
        </is>
      </c>
      <c r="Q1" s="13" t="inlineStr">
        <is>
          <t>peso_platam_usado</t>
        </is>
      </c>
    </row>
    <row r="2">
      <c r="A2" t="inlineStr">
        <is>
          <t>1006157869</t>
        </is>
      </c>
      <c r="B2" t="n">
        <v/>
      </c>
      <c r="C2" t="n">
        <v>300</v>
      </c>
      <c r="D2" t="n">
        <v>150</v>
      </c>
      <c r="E2" t="n">
        <v>125</v>
      </c>
      <c r="F2" t="n">
        <v>575</v>
      </c>
      <c r="G2" t="inlineStr">
        <is>
          <t>C</t>
        </is>
      </c>
      <c r="H2" t="n">
        <v>715.3679653679653</v>
      </c>
      <c r="I2" t="n">
        <v>687.3</v>
      </c>
      <c r="J2" t="inlineStr">
        <is>
          <t>B-</t>
        </is>
      </c>
      <c r="K2" t="n">
        <v/>
      </c>
      <c r="L2" t="n">
        <v/>
      </c>
      <c r="M2" t="n">
        <v/>
      </c>
      <c r="N2" t="n">
        <v>23.3084</v>
      </c>
      <c r="O2" t="n">
        <v>0</v>
      </c>
      <c r="P2" t="inlineStr">
        <is>
          <t>muy_nuevo</t>
        </is>
      </c>
      <c r="Q2" t="n">
        <v>0.2</v>
      </c>
    </row>
    <row r="3">
      <c r="A3" t="inlineStr">
        <is>
          <t>74858339</t>
        </is>
      </c>
      <c r="B3" t="n">
        <v/>
      </c>
      <c r="C3" t="n">
        <v>300</v>
      </c>
      <c r="D3" t="n">
        <v>150</v>
      </c>
      <c r="E3" t="n">
        <v>125</v>
      </c>
      <c r="F3" t="n">
        <v>575</v>
      </c>
      <c r="G3" t="inlineStr">
        <is>
          <t>C</t>
        </is>
      </c>
      <c r="H3" t="n">
        <v>884.1991341991342</v>
      </c>
      <c r="I3" t="n">
        <v>822.4</v>
      </c>
      <c r="J3" t="inlineStr">
        <is>
          <t>A-</t>
        </is>
      </c>
      <c r="K3" t="n">
        <v/>
      </c>
      <c r="L3" t="n">
        <v/>
      </c>
      <c r="M3" t="n">
        <v/>
      </c>
      <c r="N3" t="n">
        <v>69.824</v>
      </c>
      <c r="O3" t="n">
        <v>0</v>
      </c>
      <c r="P3" t="inlineStr">
        <is>
          <t>muy_nuevo</t>
        </is>
      </c>
      <c r="Q3" t="n">
        <v>0.2</v>
      </c>
    </row>
    <row r="4">
      <c r="A4" t="inlineStr">
        <is>
          <t>1010240702</t>
        </is>
      </c>
      <c r="B4" t="n">
        <v/>
      </c>
      <c r="C4" t="n">
        <v>300</v>
      </c>
      <c r="D4" t="n">
        <v>150</v>
      </c>
      <c r="E4" t="n">
        <v>125</v>
      </c>
      <c r="F4" t="n">
        <v>575</v>
      </c>
      <c r="G4" t="inlineStr">
        <is>
          <t>C</t>
        </is>
      </c>
      <c r="H4" t="n">
        <v>750</v>
      </c>
      <c r="I4" t="n">
        <v>715</v>
      </c>
      <c r="J4" t="inlineStr">
        <is>
          <t>B</t>
        </is>
      </c>
      <c r="K4" t="n">
        <v/>
      </c>
      <c r="L4" t="n">
        <v/>
      </c>
      <c r="M4" t="n">
        <v/>
      </c>
      <c r="N4" t="n">
        <v>0</v>
      </c>
      <c r="O4" t="n">
        <v>0</v>
      </c>
      <c r="P4" t="inlineStr">
        <is>
          <t>muy_nuevo</t>
        </is>
      </c>
      <c r="Q4" t="n">
        <v>0.2</v>
      </c>
    </row>
    <row r="5">
      <c r="A5" t="inlineStr">
        <is>
          <t>1126427264</t>
        </is>
      </c>
      <c r="B5" t="n">
        <v/>
      </c>
      <c r="C5" t="n">
        <v>300</v>
      </c>
      <c r="D5" t="n">
        <v>150</v>
      </c>
      <c r="E5" t="n">
        <v>125</v>
      </c>
      <c r="F5" t="n">
        <v>575</v>
      </c>
      <c r="G5" t="inlineStr">
        <is>
          <t>C</t>
        </is>
      </c>
      <c r="H5" t="n">
        <v>822.5108225108225</v>
      </c>
      <c r="I5" t="n">
        <v>773</v>
      </c>
      <c r="J5" t="inlineStr">
        <is>
          <t>B+</t>
        </is>
      </c>
      <c r="K5" t="n">
        <v/>
      </c>
      <c r="L5" t="n">
        <v/>
      </c>
      <c r="M5" t="n">
        <v/>
      </c>
      <c r="N5" t="n">
        <v>37.52496666666666</v>
      </c>
      <c r="O5" t="n">
        <v>0</v>
      </c>
      <c r="P5" t="inlineStr">
        <is>
          <t>muy_nuevo</t>
        </is>
      </c>
      <c r="Q5" t="n">
        <v>0.2</v>
      </c>
    </row>
    <row r="6">
      <c r="A6" t="inlineStr">
        <is>
          <t>1002499770</t>
        </is>
      </c>
      <c r="B6" t="n">
        <v/>
      </c>
      <c r="C6" t="n">
        <v>300</v>
      </c>
      <c r="D6" t="n">
        <v>100</v>
      </c>
      <c r="E6" t="n">
        <v>125</v>
      </c>
      <c r="F6" t="n">
        <v>525</v>
      </c>
      <c r="G6" t="inlineStr">
        <is>
          <t>C-</t>
        </is>
      </c>
      <c r="H6" t="n">
        <v>719.6969696969697</v>
      </c>
      <c r="I6" t="n">
        <v>680.8</v>
      </c>
      <c r="J6" t="inlineStr">
        <is>
          <t>B-</t>
        </is>
      </c>
      <c r="K6" t="n">
        <v/>
      </c>
      <c r="L6" t="n">
        <v/>
      </c>
      <c r="M6" t="n">
        <v/>
      </c>
      <c r="N6" t="n">
        <v>0</v>
      </c>
      <c r="O6" t="n">
        <v>0</v>
      </c>
      <c r="P6" t="inlineStr">
        <is>
          <t>muy_nuevo</t>
        </is>
      </c>
      <c r="Q6" t="n">
        <v>0.2</v>
      </c>
    </row>
    <row r="7">
      <c r="A7" t="inlineStr">
        <is>
          <t>1121820971</t>
        </is>
      </c>
      <c r="B7" t="n">
        <v/>
      </c>
      <c r="C7" t="n">
        <v>300</v>
      </c>
      <c r="D7" t="n">
        <v>150</v>
      </c>
      <c r="E7" t="n">
        <v>125</v>
      </c>
      <c r="F7" t="n">
        <v>575</v>
      </c>
      <c r="G7" t="inlineStr">
        <is>
          <t>C</t>
        </is>
      </c>
      <c r="H7" t="n">
        <v>866.8831168831169</v>
      </c>
      <c r="I7" t="n">
        <v>808.5</v>
      </c>
      <c r="J7" t="inlineStr">
        <is>
          <t>A-</t>
        </is>
      </c>
      <c r="K7" t="n">
        <v/>
      </c>
      <c r="L7" t="n">
        <v/>
      </c>
      <c r="M7" t="n">
        <v/>
      </c>
      <c r="N7" t="n">
        <v>0</v>
      </c>
      <c r="O7" t="n">
        <v>0</v>
      </c>
      <c r="P7" t="inlineStr">
        <is>
          <t>muy_nuevo</t>
        </is>
      </c>
      <c r="Q7" t="n">
        <v>0.2</v>
      </c>
    </row>
    <row r="8">
      <c r="A8" t="inlineStr">
        <is>
          <t>1006218030</t>
        </is>
      </c>
      <c r="B8" t="n">
        <v/>
      </c>
      <c r="C8" t="n">
        <v>300</v>
      </c>
      <c r="D8" t="n">
        <v>150</v>
      </c>
      <c r="E8" t="n">
        <v>125</v>
      </c>
      <c r="F8" t="n">
        <v>575</v>
      </c>
      <c r="G8" t="inlineStr">
        <is>
          <t>C</t>
        </is>
      </c>
      <c r="H8" t="n">
        <v>775.9740259740259</v>
      </c>
      <c r="I8" t="n">
        <v>735.8</v>
      </c>
      <c r="J8" t="inlineStr">
        <is>
          <t>B</t>
        </is>
      </c>
      <c r="K8" t="n">
        <v/>
      </c>
      <c r="L8" t="n">
        <v/>
      </c>
      <c r="M8" t="n">
        <v/>
      </c>
      <c r="N8" t="n">
        <v>69.52286666666667</v>
      </c>
      <c r="O8" t="n">
        <v>0</v>
      </c>
      <c r="P8" t="inlineStr">
        <is>
          <t>muy_nuevo</t>
        </is>
      </c>
      <c r="Q8" t="n">
        <v>0.2</v>
      </c>
    </row>
    <row r="9">
      <c r="A9" t="inlineStr">
        <is>
          <t>1114458785</t>
        </is>
      </c>
      <c r="B9" t="n">
        <v/>
      </c>
      <c r="C9" t="n">
        <v>300</v>
      </c>
      <c r="D9" t="n">
        <v>100</v>
      </c>
      <c r="E9" t="n">
        <v>125</v>
      </c>
      <c r="F9" t="n">
        <v>525</v>
      </c>
      <c r="G9" t="inlineStr">
        <is>
          <t>C-</t>
        </is>
      </c>
      <c r="H9" t="n">
        <v>788.961038961039</v>
      </c>
      <c r="I9" t="n">
        <v>736.2</v>
      </c>
      <c r="J9" t="inlineStr">
        <is>
          <t>B</t>
        </is>
      </c>
      <c r="K9" t="n">
        <v/>
      </c>
      <c r="L9" t="n">
        <v/>
      </c>
      <c r="M9" t="n">
        <v/>
      </c>
      <c r="N9" t="n">
        <v>0</v>
      </c>
      <c r="O9" t="n">
        <v>0</v>
      </c>
      <c r="P9" t="inlineStr">
        <is>
          <t>muy_nuevo</t>
        </is>
      </c>
      <c r="Q9" t="n">
        <v>0.2</v>
      </c>
    </row>
    <row r="10">
      <c r="A10" t="inlineStr">
        <is>
          <t>31842592</t>
        </is>
      </c>
      <c r="B10" t="n">
        <v/>
      </c>
      <c r="C10" t="n">
        <v>300</v>
      </c>
      <c r="D10" t="n">
        <v>150</v>
      </c>
      <c r="E10" t="n">
        <v>125</v>
      </c>
      <c r="F10" t="n">
        <v>575</v>
      </c>
      <c r="G10" t="inlineStr">
        <is>
          <t>C</t>
        </is>
      </c>
      <c r="H10" t="n">
        <v>860.3896103896104</v>
      </c>
      <c r="I10" t="n">
        <v>803.3</v>
      </c>
      <c r="J10" t="inlineStr">
        <is>
          <t>A-</t>
        </is>
      </c>
      <c r="K10" t="n">
        <v/>
      </c>
      <c r="L10" t="n">
        <v/>
      </c>
      <c r="M10" t="n">
        <v/>
      </c>
      <c r="N10" t="n">
        <v>76.03295</v>
      </c>
      <c r="O10" t="n">
        <v>0</v>
      </c>
      <c r="P10" t="inlineStr">
        <is>
          <t>muy_nuevo</t>
        </is>
      </c>
      <c r="Q10" t="n">
        <v>0.2</v>
      </c>
    </row>
    <row r="11">
      <c r="A11" t="inlineStr">
        <is>
          <t>901973300</t>
        </is>
      </c>
      <c r="B11" t="n">
        <v/>
      </c>
      <c r="C11" t="n">
        <v>300</v>
      </c>
      <c r="D11" t="n">
        <v>150</v>
      </c>
      <c r="E11" t="n">
        <v>125</v>
      </c>
      <c r="F11" t="n">
        <v>575</v>
      </c>
      <c r="G11" t="inlineStr">
        <is>
          <t>C</t>
        </is>
      </c>
      <c r="H11" t="n">
        <v/>
      </c>
      <c r="I11" t="n">
        <v>575</v>
      </c>
      <c r="J11" t="inlineStr">
        <is>
          <t>C</t>
        </is>
      </c>
      <c r="K11" t="n">
        <v/>
      </c>
      <c r="L11" t="n">
        <v/>
      </c>
      <c r="M11" t="n">
        <v/>
      </c>
      <c r="N11" t="n">
        <v>0</v>
      </c>
      <c r="O11" t="n">
        <v>0</v>
      </c>
      <c r="P11" t="inlineStr">
        <is>
          <t>muy_nuevo</t>
        </is>
      </c>
      <c r="Q11" t="n">
        <v>1</v>
      </c>
    </row>
    <row r="12">
      <c r="A12" t="inlineStr">
        <is>
          <t>66661722</t>
        </is>
      </c>
      <c r="B12" t="n">
        <v/>
      </c>
      <c r="C12" t="n">
        <v>300</v>
      </c>
      <c r="D12" t="n">
        <v>150</v>
      </c>
      <c r="E12" t="n">
        <v>125</v>
      </c>
      <c r="F12" t="n">
        <v>575</v>
      </c>
      <c r="G12" t="inlineStr">
        <is>
          <t>C</t>
        </is>
      </c>
      <c r="H12" t="n">
        <v>861.4718614718615</v>
      </c>
      <c r="I12" t="n">
        <v>804.2</v>
      </c>
      <c r="J12" t="inlineStr">
        <is>
          <t>A-</t>
        </is>
      </c>
      <c r="K12" t="n">
        <v/>
      </c>
      <c r="L12" t="n">
        <v/>
      </c>
      <c r="M12" t="n">
        <v/>
      </c>
      <c r="N12" t="n">
        <v>29.07863333333333</v>
      </c>
      <c r="O12" t="n">
        <v>0</v>
      </c>
      <c r="P12" t="inlineStr">
        <is>
          <t>muy_nuevo</t>
        </is>
      </c>
      <c r="Q12" t="n">
        <v>0.2</v>
      </c>
    </row>
    <row r="13">
      <c r="A13" t="inlineStr">
        <is>
          <t>1030562981</t>
        </is>
      </c>
      <c r="B13" t="n">
        <v/>
      </c>
      <c r="C13" t="n">
        <v>300</v>
      </c>
      <c r="D13" t="n">
        <v>50</v>
      </c>
      <c r="E13" t="n">
        <v>125</v>
      </c>
      <c r="F13" t="n">
        <v>475</v>
      </c>
      <c r="G13" t="inlineStr">
        <is>
          <t>D/F</t>
        </is>
      </c>
      <c r="H13" t="n">
        <v>551.948051948052</v>
      </c>
      <c r="I13" t="n">
        <v>536.6</v>
      </c>
      <c r="J13" t="inlineStr">
        <is>
          <t>C-</t>
        </is>
      </c>
      <c r="K13" t="n">
        <v/>
      </c>
      <c r="L13" t="n">
        <v/>
      </c>
      <c r="M13" t="n">
        <v/>
      </c>
      <c r="N13" t="n">
        <v>44.84</v>
      </c>
      <c r="O13" t="n">
        <v>0</v>
      </c>
      <c r="P13" t="inlineStr">
        <is>
          <t>muy_nuevo</t>
        </is>
      </c>
      <c r="Q13" t="n">
        <v>0.2</v>
      </c>
    </row>
    <row r="14">
      <c r="A14" t="inlineStr">
        <is>
          <t>31918579</t>
        </is>
      </c>
      <c r="B14" t="n">
        <v/>
      </c>
      <c r="C14" t="n">
        <v>300</v>
      </c>
      <c r="D14" t="n">
        <v>150</v>
      </c>
      <c r="E14" t="n">
        <v>125</v>
      </c>
      <c r="F14" t="n">
        <v>575</v>
      </c>
      <c r="G14" t="inlineStr">
        <is>
          <t>C</t>
        </is>
      </c>
      <c r="H14" t="n">
        <v>806.2770562770562</v>
      </c>
      <c r="I14" t="n">
        <v>760</v>
      </c>
      <c r="J14" t="inlineStr">
        <is>
          <t>B+</t>
        </is>
      </c>
      <c r="K14" t="n">
        <v/>
      </c>
      <c r="L14" t="n">
        <v/>
      </c>
      <c r="M14" t="n">
        <v/>
      </c>
      <c r="N14" t="n">
        <v>46.8075</v>
      </c>
      <c r="O14" t="n">
        <v>0</v>
      </c>
      <c r="P14" t="inlineStr">
        <is>
          <t>muy_nuevo</t>
        </is>
      </c>
      <c r="Q14" t="n">
        <v>0.2</v>
      </c>
    </row>
    <row r="15">
      <c r="A15" t="inlineStr">
        <is>
          <t>1061370725</t>
        </is>
      </c>
      <c r="B15" t="n">
        <v/>
      </c>
      <c r="C15" t="n">
        <v>300</v>
      </c>
      <c r="D15" t="n">
        <v>150</v>
      </c>
      <c r="E15" t="n">
        <v>125</v>
      </c>
      <c r="F15" t="n">
        <v>575</v>
      </c>
      <c r="G15" t="inlineStr">
        <is>
          <t>C</t>
        </is>
      </c>
      <c r="H15" t="n">
        <v>877.7056277056276</v>
      </c>
      <c r="I15" t="n">
        <v>817.2</v>
      </c>
      <c r="J15" t="inlineStr">
        <is>
          <t>A-</t>
        </is>
      </c>
      <c r="K15" t="n">
        <v/>
      </c>
      <c r="L15" t="n">
        <v/>
      </c>
      <c r="M15" t="n">
        <v/>
      </c>
      <c r="N15" t="n">
        <v>0</v>
      </c>
      <c r="O15" t="n">
        <v>0</v>
      </c>
      <c r="P15" t="inlineStr">
        <is>
          <t>muy_nuevo</t>
        </is>
      </c>
      <c r="Q15" t="n">
        <v>0.2</v>
      </c>
    </row>
    <row r="16">
      <c r="A16" t="inlineStr">
        <is>
          <t>1103110446</t>
        </is>
      </c>
      <c r="B16" t="n">
        <v/>
      </c>
      <c r="C16" t="n">
        <v>300</v>
      </c>
      <c r="D16" t="n">
        <v>150</v>
      </c>
      <c r="E16" t="n">
        <v>125</v>
      </c>
      <c r="F16" t="n">
        <v>575</v>
      </c>
      <c r="G16" t="inlineStr">
        <is>
          <t>C</t>
        </is>
      </c>
      <c r="H16" t="n">
        <v>743.5064935064936</v>
      </c>
      <c r="I16" t="n">
        <v>709.8</v>
      </c>
      <c r="J16" t="inlineStr">
        <is>
          <t>B</t>
        </is>
      </c>
      <c r="K16" t="n">
        <v/>
      </c>
      <c r="L16" t="n">
        <v/>
      </c>
      <c r="M16" t="n">
        <v/>
      </c>
      <c r="N16" t="n">
        <v>32.61062857142857</v>
      </c>
      <c r="O16" t="n">
        <v>0</v>
      </c>
      <c r="P16" t="inlineStr">
        <is>
          <t>muy_nuevo</t>
        </is>
      </c>
      <c r="Q16" t="n">
        <v>0.2</v>
      </c>
    </row>
    <row r="17">
      <c r="A17" t="inlineStr">
        <is>
          <t>1221984588</t>
        </is>
      </c>
      <c r="B17" t="n">
        <v/>
      </c>
      <c r="C17" t="n">
        <v>300</v>
      </c>
      <c r="D17" t="n">
        <v>100</v>
      </c>
      <c r="E17" t="n">
        <v>125</v>
      </c>
      <c r="F17" t="n">
        <v>525</v>
      </c>
      <c r="G17" t="inlineStr">
        <is>
          <t>C-</t>
        </is>
      </c>
      <c r="H17" t="n">
        <v>722.9437229437228</v>
      </c>
      <c r="I17" t="n">
        <v>683.4</v>
      </c>
      <c r="J17" t="inlineStr">
        <is>
          <t>B-</t>
        </is>
      </c>
      <c r="K17" t="n">
        <v/>
      </c>
      <c r="L17" t="n">
        <v/>
      </c>
      <c r="M17" t="n">
        <v/>
      </c>
      <c r="N17" t="n">
        <v>0</v>
      </c>
      <c r="O17" t="n">
        <v>0</v>
      </c>
      <c r="P17" t="inlineStr">
        <is>
          <t>muy_nuevo</t>
        </is>
      </c>
      <c r="Q17" t="n">
        <v>0.2</v>
      </c>
    </row>
    <row r="18">
      <c r="A18" t="inlineStr">
        <is>
          <t>52050844</t>
        </is>
      </c>
      <c r="B18" t="n">
        <v/>
      </c>
      <c r="C18" t="n">
        <v>300</v>
      </c>
      <c r="D18" t="n">
        <v>150</v>
      </c>
      <c r="E18" t="n">
        <v>125</v>
      </c>
      <c r="F18" t="n">
        <v>575</v>
      </c>
      <c r="G18" t="inlineStr">
        <is>
          <t>C</t>
        </is>
      </c>
      <c r="H18" t="n">
        <v>860.3896103896104</v>
      </c>
      <c r="I18" t="n">
        <v>803.3</v>
      </c>
      <c r="J18" t="inlineStr">
        <is>
          <t>A-</t>
        </is>
      </c>
      <c r="K18" t="n">
        <v/>
      </c>
      <c r="L18" t="n">
        <v/>
      </c>
      <c r="M18" t="n">
        <v/>
      </c>
      <c r="N18" t="n">
        <v>58.7312</v>
      </c>
      <c r="O18" t="n">
        <v>0</v>
      </c>
      <c r="P18" t="inlineStr">
        <is>
          <t>muy_nuevo</t>
        </is>
      </c>
      <c r="Q18" t="n">
        <v>0.2</v>
      </c>
    </row>
    <row r="19">
      <c r="A19" t="inlineStr">
        <is>
          <t>1010006115</t>
        </is>
      </c>
      <c r="B19" t="n">
        <v/>
      </c>
      <c r="C19" t="n">
        <v>300</v>
      </c>
      <c r="D19" t="n">
        <v>150</v>
      </c>
      <c r="E19" t="n">
        <v>125</v>
      </c>
      <c r="F19" t="n">
        <v>575</v>
      </c>
      <c r="G19" t="inlineStr">
        <is>
          <t>C</t>
        </is>
      </c>
      <c r="H19" t="n">
        <v>823.5930735930735</v>
      </c>
      <c r="I19" t="n">
        <v>773.9</v>
      </c>
      <c r="J19" t="inlineStr">
        <is>
          <t>B+</t>
        </is>
      </c>
      <c r="K19" t="n">
        <v/>
      </c>
      <c r="L19" t="n">
        <v/>
      </c>
      <c r="M19" t="n">
        <v/>
      </c>
      <c r="N19" t="n">
        <v>72.545</v>
      </c>
      <c r="O19" t="n">
        <v>0</v>
      </c>
      <c r="P19" t="inlineStr">
        <is>
          <t>muy_nuevo</t>
        </is>
      </c>
      <c r="Q19" t="n">
        <v>0.2</v>
      </c>
    </row>
    <row r="20">
      <c r="A20" t="inlineStr">
        <is>
          <t>38611636</t>
        </is>
      </c>
      <c r="B20" t="n">
        <v/>
      </c>
      <c r="C20" t="n">
        <v>300</v>
      </c>
      <c r="D20" t="n">
        <v>150</v>
      </c>
      <c r="E20" t="n">
        <v>125</v>
      </c>
      <c r="F20" t="n">
        <v>575</v>
      </c>
      <c r="G20" t="inlineStr">
        <is>
          <t>C</t>
        </is>
      </c>
      <c r="H20" t="n">
        <v>846.3203463203464</v>
      </c>
      <c r="I20" t="n">
        <v>792.1</v>
      </c>
      <c r="J20" t="inlineStr">
        <is>
          <t>B+</t>
        </is>
      </c>
      <c r="K20" t="n">
        <v/>
      </c>
      <c r="L20" t="n">
        <v/>
      </c>
      <c r="M20" t="n">
        <v/>
      </c>
      <c r="N20" t="n">
        <v>87.98548571428572</v>
      </c>
      <c r="O20" t="n">
        <v>0</v>
      </c>
      <c r="P20" t="inlineStr">
        <is>
          <t>muy_nuevo</t>
        </is>
      </c>
      <c r="Q20" t="n">
        <v>0.2</v>
      </c>
    </row>
    <row r="21">
      <c r="A21" t="inlineStr">
        <is>
          <t>1121935853</t>
        </is>
      </c>
      <c r="B21" t="n">
        <v/>
      </c>
      <c r="C21" t="n">
        <v>300</v>
      </c>
      <c r="D21" t="n">
        <v>150</v>
      </c>
      <c r="E21" t="n">
        <v>125</v>
      </c>
      <c r="F21" t="n">
        <v>575</v>
      </c>
      <c r="G21" t="inlineStr">
        <is>
          <t>C</t>
        </is>
      </c>
      <c r="H21" t="n">
        <v>737.012987012987</v>
      </c>
      <c r="I21" t="n">
        <v>704.6</v>
      </c>
      <c r="J21" t="inlineStr">
        <is>
          <t>B</t>
        </is>
      </c>
      <c r="K21" t="n">
        <v/>
      </c>
      <c r="L21" t="n">
        <v/>
      </c>
      <c r="M21" t="n">
        <v/>
      </c>
      <c r="N21" t="n">
        <v>0</v>
      </c>
      <c r="O21" t="n">
        <v>0</v>
      </c>
      <c r="P21" t="inlineStr">
        <is>
          <t>muy_nuevo</t>
        </is>
      </c>
      <c r="Q21" t="n">
        <v>0.2</v>
      </c>
    </row>
    <row r="22">
      <c r="A22" t="inlineStr">
        <is>
          <t>1116548884</t>
        </is>
      </c>
      <c r="B22" t="n">
        <v/>
      </c>
      <c r="C22" t="n">
        <v>300</v>
      </c>
      <c r="D22" t="n">
        <v>150</v>
      </c>
      <c r="E22" t="n">
        <v>125</v>
      </c>
      <c r="F22" t="n">
        <v>575</v>
      </c>
      <c r="G22" t="inlineStr">
        <is>
          <t>C</t>
        </is>
      </c>
      <c r="H22" t="n">
        <v>799.7835497835498</v>
      </c>
      <c r="I22" t="n">
        <v>754.8</v>
      </c>
      <c r="J22" t="inlineStr">
        <is>
          <t>B+</t>
        </is>
      </c>
      <c r="K22" t="n">
        <v/>
      </c>
      <c r="L22" t="n">
        <v/>
      </c>
      <c r="M22" t="n">
        <v/>
      </c>
      <c r="N22" t="n">
        <v>0</v>
      </c>
      <c r="O22" t="n">
        <v>0</v>
      </c>
      <c r="P22" t="inlineStr">
        <is>
          <t>muy_nuevo</t>
        </is>
      </c>
      <c r="Q22" t="n">
        <v>0.2</v>
      </c>
    </row>
    <row r="23">
      <c r="A23" t="inlineStr">
        <is>
          <t>31330526</t>
        </is>
      </c>
      <c r="B23" t="n">
        <v/>
      </c>
      <c r="C23" t="n">
        <v>300</v>
      </c>
      <c r="D23" t="n">
        <v>150</v>
      </c>
      <c r="E23" t="n">
        <v>125</v>
      </c>
      <c r="F23" t="n">
        <v>575</v>
      </c>
      <c r="G23" t="inlineStr">
        <is>
          <t>C</t>
        </is>
      </c>
      <c r="H23" t="n">
        <v>844.1558441558441</v>
      </c>
      <c r="I23" t="n">
        <v>790.3</v>
      </c>
      <c r="J23" t="inlineStr">
        <is>
          <t>B+</t>
        </is>
      </c>
      <c r="K23" t="n">
        <v/>
      </c>
      <c r="L23" t="n">
        <v/>
      </c>
      <c r="M23" t="n">
        <v/>
      </c>
      <c r="N23" t="n">
        <v>28.70985</v>
      </c>
      <c r="O23" t="n">
        <v>0</v>
      </c>
      <c r="P23" t="inlineStr">
        <is>
          <t>muy_nuevo</t>
        </is>
      </c>
      <c r="Q23" t="n">
        <v>0.2</v>
      </c>
    </row>
    <row r="24">
      <c r="A24" t="inlineStr">
        <is>
          <t>901809312</t>
        </is>
      </c>
      <c r="B24" t="n">
        <v/>
      </c>
      <c r="C24" t="n">
        <v>300</v>
      </c>
      <c r="D24" t="n">
        <v>100</v>
      </c>
      <c r="E24" t="n">
        <v>125</v>
      </c>
      <c r="F24" t="n">
        <v>525</v>
      </c>
      <c r="G24" t="inlineStr">
        <is>
          <t>C-</t>
        </is>
      </c>
      <c r="H24" t="n">
        <v/>
      </c>
      <c r="I24" t="n">
        <v>525</v>
      </c>
      <c r="J24" t="inlineStr">
        <is>
          <t>C-</t>
        </is>
      </c>
      <c r="K24" t="n">
        <v/>
      </c>
      <c r="L24" t="n">
        <v/>
      </c>
      <c r="M24" t="n">
        <v/>
      </c>
      <c r="N24" t="n">
        <v>73.26169999999999</v>
      </c>
      <c r="O24" t="n">
        <v>0</v>
      </c>
      <c r="P24" t="inlineStr">
        <is>
          <t>muy_nuevo</t>
        </is>
      </c>
      <c r="Q24" t="n">
        <v>1</v>
      </c>
    </row>
    <row r="25">
      <c r="A25" t="inlineStr">
        <is>
          <t>31643878</t>
        </is>
      </c>
      <c r="B25" t="n">
        <v/>
      </c>
      <c r="C25" t="n">
        <v>300</v>
      </c>
      <c r="D25" t="n">
        <v>150</v>
      </c>
      <c r="E25" t="n">
        <v>125</v>
      </c>
      <c r="F25" t="n">
        <v>575</v>
      </c>
      <c r="G25" t="inlineStr">
        <is>
          <t>C</t>
        </is>
      </c>
      <c r="H25" t="n">
        <v>829.004329004329</v>
      </c>
      <c r="I25" t="n">
        <v>778.2</v>
      </c>
      <c r="J25" t="inlineStr">
        <is>
          <t>B+</t>
        </is>
      </c>
      <c r="K25" t="n">
        <v/>
      </c>
      <c r="L25" t="n">
        <v/>
      </c>
      <c r="M25" t="n">
        <v/>
      </c>
      <c r="N25" t="n">
        <v>45.06</v>
      </c>
      <c r="O25" t="n">
        <v>0</v>
      </c>
      <c r="P25" t="inlineStr">
        <is>
          <t>muy_nuevo</t>
        </is>
      </c>
      <c r="Q25" t="n">
        <v>0.2</v>
      </c>
    </row>
    <row r="26">
      <c r="A26" t="inlineStr">
        <is>
          <t>1062962938</t>
        </is>
      </c>
      <c r="B26" t="n">
        <v/>
      </c>
      <c r="C26" t="n">
        <v>300</v>
      </c>
      <c r="D26" t="n">
        <v>100</v>
      </c>
      <c r="E26" t="n">
        <v>125</v>
      </c>
      <c r="F26" t="n">
        <v>525</v>
      </c>
      <c r="G26" t="inlineStr">
        <is>
          <t>C-</t>
        </is>
      </c>
      <c r="H26" t="n">
        <v>611.4718614718615</v>
      </c>
      <c r="I26" t="n">
        <v>594.2</v>
      </c>
      <c r="J26" t="inlineStr">
        <is>
          <t>C</t>
        </is>
      </c>
      <c r="K26" t="n">
        <v/>
      </c>
      <c r="L26" t="n">
        <v/>
      </c>
      <c r="M26" t="n">
        <v/>
      </c>
      <c r="N26" t="n">
        <v>99.6264</v>
      </c>
      <c r="O26" t="n">
        <v>0</v>
      </c>
      <c r="P26" t="inlineStr">
        <is>
          <t>muy_nuevo</t>
        </is>
      </c>
      <c r="Q26" t="n">
        <v>0.2</v>
      </c>
    </row>
    <row r="27">
      <c r="A27" t="inlineStr">
        <is>
          <t>1005977778</t>
        </is>
      </c>
      <c r="B27" t="n">
        <v/>
      </c>
      <c r="C27" t="n">
        <v>300</v>
      </c>
      <c r="D27" t="n">
        <v>150</v>
      </c>
      <c r="E27" t="n">
        <v>125</v>
      </c>
      <c r="F27" t="n">
        <v>575</v>
      </c>
      <c r="G27" t="inlineStr">
        <is>
          <t>C</t>
        </is>
      </c>
      <c r="H27" t="n">
        <v>792.2077922077923</v>
      </c>
      <c r="I27" t="n">
        <v>748.8</v>
      </c>
      <c r="J27" t="inlineStr">
        <is>
          <t>B</t>
        </is>
      </c>
      <c r="K27" t="n">
        <v/>
      </c>
      <c r="L27" t="n">
        <v/>
      </c>
      <c r="M27" t="n">
        <v/>
      </c>
      <c r="N27" t="n">
        <v>93.2132</v>
      </c>
      <c r="O27" t="n">
        <v>0</v>
      </c>
      <c r="P27" t="inlineStr">
        <is>
          <t>muy_nuevo</t>
        </is>
      </c>
      <c r="Q27" t="n">
        <v>0.2</v>
      </c>
    </row>
    <row r="28">
      <c r="A28" t="inlineStr">
        <is>
          <t>1117807143</t>
        </is>
      </c>
      <c r="B28" t="n">
        <v/>
      </c>
      <c r="C28" t="n">
        <v>300</v>
      </c>
      <c r="D28" t="n">
        <v>150</v>
      </c>
      <c r="E28" t="n">
        <v>125</v>
      </c>
      <c r="F28" t="n">
        <v>575</v>
      </c>
      <c r="G28" t="inlineStr">
        <is>
          <t>C</t>
        </is>
      </c>
      <c r="H28" t="n">
        <v>773.8095238095239</v>
      </c>
      <c r="I28" t="n">
        <v>734</v>
      </c>
      <c r="J28" t="inlineStr">
        <is>
          <t>B</t>
        </is>
      </c>
      <c r="K28" t="n">
        <v/>
      </c>
      <c r="L28" t="n">
        <v/>
      </c>
      <c r="M28" t="n">
        <v/>
      </c>
      <c r="N28" t="n">
        <v>29.54665</v>
      </c>
      <c r="O28" t="n">
        <v>0</v>
      </c>
      <c r="P28" t="inlineStr">
        <is>
          <t>muy_nuevo</t>
        </is>
      </c>
      <c r="Q28" t="n">
        <v>0.2</v>
      </c>
    </row>
    <row r="29">
      <c r="A29" t="inlineStr">
        <is>
          <t>1144097358</t>
        </is>
      </c>
      <c r="B29" t="n">
        <v/>
      </c>
      <c r="C29" t="n">
        <v>300</v>
      </c>
      <c r="D29" t="n">
        <v>100</v>
      </c>
      <c r="E29" t="n">
        <v>125</v>
      </c>
      <c r="F29" t="n">
        <v>525</v>
      </c>
      <c r="G29" t="inlineStr">
        <is>
          <t>C-</t>
        </is>
      </c>
      <c r="H29" t="n">
        <v>687.2294372294372</v>
      </c>
      <c r="I29" t="n">
        <v>654.8</v>
      </c>
      <c r="J29" t="inlineStr">
        <is>
          <t>B-</t>
        </is>
      </c>
      <c r="K29" t="n">
        <v/>
      </c>
      <c r="L29" t="n">
        <v/>
      </c>
      <c r="M29" t="n">
        <v/>
      </c>
      <c r="N29" t="n">
        <v>0</v>
      </c>
      <c r="O29" t="n">
        <v>0</v>
      </c>
      <c r="P29" t="inlineStr">
        <is>
          <t>muy_nuevo</t>
        </is>
      </c>
      <c r="Q29" t="n">
        <v>0.2</v>
      </c>
    </row>
    <row r="30">
      <c r="A30" t="inlineStr">
        <is>
          <t>901932123</t>
        </is>
      </c>
      <c r="B30" t="n">
        <v/>
      </c>
      <c r="C30" t="n">
        <v>300</v>
      </c>
      <c r="D30" t="n">
        <v>100</v>
      </c>
      <c r="E30" t="n">
        <v>125</v>
      </c>
      <c r="F30" t="n">
        <v>525</v>
      </c>
      <c r="G30" t="inlineStr">
        <is>
          <t>C-</t>
        </is>
      </c>
      <c r="H30" t="n">
        <v/>
      </c>
      <c r="I30" t="n">
        <v>525</v>
      </c>
      <c r="J30" t="inlineStr">
        <is>
          <t>C-</t>
        </is>
      </c>
      <c r="K30" t="n">
        <v/>
      </c>
      <c r="L30" t="n">
        <v/>
      </c>
      <c r="M30" t="n">
        <v/>
      </c>
      <c r="N30" t="n">
        <v>67.60000000000001</v>
      </c>
      <c r="O30" t="n">
        <v>0</v>
      </c>
      <c r="P30" t="inlineStr">
        <is>
          <t>muy_nuevo</t>
        </is>
      </c>
      <c r="Q30" t="n">
        <v>1</v>
      </c>
    </row>
    <row r="31">
      <c r="A31" t="inlineStr">
        <is>
          <t>1074417997</t>
        </is>
      </c>
      <c r="B31" t="n">
        <v/>
      </c>
      <c r="C31" t="n">
        <v>300</v>
      </c>
      <c r="D31" t="n">
        <v>100</v>
      </c>
      <c r="E31" t="n">
        <v>125</v>
      </c>
      <c r="F31" t="n">
        <v>525</v>
      </c>
      <c r="G31" t="inlineStr">
        <is>
          <t>C-</t>
        </is>
      </c>
      <c r="H31" t="n">
        <v>718.6147186147186</v>
      </c>
      <c r="I31" t="n">
        <v>679.9</v>
      </c>
      <c r="J31" t="inlineStr">
        <is>
          <t>B-</t>
        </is>
      </c>
      <c r="K31" t="n">
        <v/>
      </c>
      <c r="L31" t="n">
        <v/>
      </c>
      <c r="M31" t="n">
        <v/>
      </c>
      <c r="N31" t="n">
        <v>85.7</v>
      </c>
      <c r="O31" t="n">
        <v>0</v>
      </c>
      <c r="P31" t="inlineStr">
        <is>
          <t>muy_nuevo</t>
        </is>
      </c>
      <c r="Q31" t="n">
        <v>0.2</v>
      </c>
    </row>
    <row r="32">
      <c r="A32" t="inlineStr">
        <is>
          <t>901256954</t>
        </is>
      </c>
      <c r="B32" t="n">
        <v/>
      </c>
      <c r="C32" t="n">
        <v>300</v>
      </c>
      <c r="D32" t="n">
        <v>100</v>
      </c>
      <c r="E32" t="n">
        <v>125</v>
      </c>
      <c r="F32" t="n">
        <v>525</v>
      </c>
      <c r="G32" t="inlineStr">
        <is>
          <t>C-</t>
        </is>
      </c>
      <c r="H32" t="n">
        <v/>
      </c>
      <c r="I32" t="n">
        <v>525</v>
      </c>
      <c r="J32" t="inlineStr">
        <is>
          <t>C-</t>
        </is>
      </c>
      <c r="K32" t="n">
        <v/>
      </c>
      <c r="L32" t="n">
        <v/>
      </c>
      <c r="M32" t="n">
        <v/>
      </c>
      <c r="N32" t="n">
        <v>29.372525</v>
      </c>
      <c r="O32" t="n">
        <v>0</v>
      </c>
      <c r="P32" t="inlineStr">
        <is>
          <t>muy_nuevo</t>
        </is>
      </c>
      <c r="Q32" t="n">
        <v>1</v>
      </c>
    </row>
    <row r="33">
      <c r="A33" t="inlineStr">
        <is>
          <t>12685947</t>
        </is>
      </c>
      <c r="B33" t="n">
        <v/>
      </c>
      <c r="C33" t="n">
        <v>300</v>
      </c>
      <c r="D33" t="n">
        <v>150</v>
      </c>
      <c r="E33" t="n">
        <v>125</v>
      </c>
      <c r="F33" t="n">
        <v>575</v>
      </c>
      <c r="G33" t="inlineStr">
        <is>
          <t>C</t>
        </is>
      </c>
      <c r="H33" t="n">
        <v>865.8008658008658</v>
      </c>
      <c r="I33" t="n">
        <v>807.6</v>
      </c>
      <c r="J33" t="inlineStr">
        <is>
          <t>A-</t>
        </is>
      </c>
      <c r="K33" t="n">
        <v/>
      </c>
      <c r="L33" t="n">
        <v/>
      </c>
      <c r="M33" t="n">
        <v/>
      </c>
      <c r="N33" t="n">
        <v>0</v>
      </c>
      <c r="O33" t="n">
        <v>0</v>
      </c>
      <c r="P33" t="inlineStr">
        <is>
          <t>muy_nuevo</t>
        </is>
      </c>
      <c r="Q33" t="n">
        <v>0.2</v>
      </c>
    </row>
    <row r="34">
      <c r="A34" t="inlineStr">
        <is>
          <t>1093221482</t>
        </is>
      </c>
      <c r="B34" t="n">
        <v/>
      </c>
      <c r="C34" t="n">
        <v>300</v>
      </c>
      <c r="D34" t="n">
        <v>150</v>
      </c>
      <c r="E34" t="n">
        <v>125</v>
      </c>
      <c r="F34" t="n">
        <v>575</v>
      </c>
      <c r="G34" t="inlineStr">
        <is>
          <t>C</t>
        </is>
      </c>
      <c r="H34" t="n">
        <v>836.5800865800866</v>
      </c>
      <c r="I34" t="n">
        <v>784.3</v>
      </c>
      <c r="J34" t="inlineStr">
        <is>
          <t>B+</t>
        </is>
      </c>
      <c r="K34" t="n">
        <v/>
      </c>
      <c r="L34" t="n">
        <v/>
      </c>
      <c r="M34" t="n">
        <v/>
      </c>
      <c r="N34" t="n">
        <v>19.253675</v>
      </c>
      <c r="O34" t="n">
        <v>0</v>
      </c>
      <c r="P34" t="inlineStr">
        <is>
          <t>muy_nuevo</t>
        </is>
      </c>
      <c r="Q34" t="n">
        <v>0.2</v>
      </c>
    </row>
    <row r="35">
      <c r="A35" t="inlineStr">
        <is>
          <t>72239768</t>
        </is>
      </c>
      <c r="B35" t="n">
        <v/>
      </c>
      <c r="C35" t="n">
        <v>300</v>
      </c>
      <c r="D35" t="n">
        <v>100</v>
      </c>
      <c r="E35" t="n">
        <v>125</v>
      </c>
      <c r="F35" t="n">
        <v>525</v>
      </c>
      <c r="G35" t="inlineStr">
        <is>
          <t>C-</t>
        </is>
      </c>
      <c r="H35" t="n">
        <v>761.9047619047618</v>
      </c>
      <c r="I35" t="n">
        <v>714.5</v>
      </c>
      <c r="J35" t="inlineStr">
        <is>
          <t>B</t>
        </is>
      </c>
      <c r="K35" t="n">
        <v/>
      </c>
      <c r="L35" t="n">
        <v/>
      </c>
      <c r="M35" t="n">
        <v/>
      </c>
      <c r="N35" t="n">
        <v>16.460525</v>
      </c>
      <c r="O35" t="n">
        <v>0</v>
      </c>
      <c r="P35" t="inlineStr">
        <is>
          <t>muy_nuevo</t>
        </is>
      </c>
      <c r="Q35" t="n">
        <v>0.2</v>
      </c>
    </row>
    <row r="36">
      <c r="A36" t="inlineStr">
        <is>
          <t>72151403</t>
        </is>
      </c>
      <c r="B36" t="n">
        <v/>
      </c>
      <c r="C36" t="n">
        <v>300</v>
      </c>
      <c r="D36" t="n">
        <v>150</v>
      </c>
      <c r="E36" t="n">
        <v>125</v>
      </c>
      <c r="F36" t="n">
        <v>575</v>
      </c>
      <c r="G36" t="inlineStr">
        <is>
          <t>C</t>
        </is>
      </c>
      <c r="H36" t="n">
        <v>822.5108225108225</v>
      </c>
      <c r="I36" t="n">
        <v>773</v>
      </c>
      <c r="J36" t="inlineStr">
        <is>
          <t>B+</t>
        </is>
      </c>
      <c r="K36" t="n">
        <v/>
      </c>
      <c r="L36" t="n">
        <v/>
      </c>
      <c r="M36" t="n">
        <v/>
      </c>
      <c r="N36" t="n">
        <v>95.99973333333334</v>
      </c>
      <c r="O36" t="n">
        <v>0</v>
      </c>
      <c r="P36" t="inlineStr">
        <is>
          <t>muy_nuevo</t>
        </is>
      </c>
      <c r="Q36" t="n">
        <v>0.2</v>
      </c>
    </row>
    <row r="37">
      <c r="A37" t="inlineStr">
        <is>
          <t>1001181877</t>
        </is>
      </c>
      <c r="B37" t="n">
        <v/>
      </c>
      <c r="C37" t="n">
        <v>300</v>
      </c>
      <c r="D37" t="n">
        <v>150</v>
      </c>
      <c r="E37" t="n">
        <v>125</v>
      </c>
      <c r="F37" t="n">
        <v>575</v>
      </c>
      <c r="G37" t="inlineStr">
        <is>
          <t>C</t>
        </is>
      </c>
      <c r="H37" t="n">
        <v>786.7965367965369</v>
      </c>
      <c r="I37" t="n">
        <v>744.4</v>
      </c>
      <c r="J37" t="inlineStr">
        <is>
          <t>B</t>
        </is>
      </c>
      <c r="K37" t="n">
        <v/>
      </c>
      <c r="L37" t="n">
        <v/>
      </c>
      <c r="M37" t="n">
        <v/>
      </c>
      <c r="N37" t="n">
        <v>0</v>
      </c>
      <c r="O37" t="n">
        <v>0</v>
      </c>
      <c r="P37" t="inlineStr">
        <is>
          <t>muy_nuevo</t>
        </is>
      </c>
      <c r="Q37" t="n">
        <v>0.2</v>
      </c>
    </row>
    <row r="38">
      <c r="A38" t="inlineStr">
        <is>
          <t>1013619220</t>
        </is>
      </c>
      <c r="B38" t="n">
        <v/>
      </c>
      <c r="C38" t="n">
        <v>300</v>
      </c>
      <c r="D38" t="n">
        <v>100</v>
      </c>
      <c r="E38" t="n">
        <v>125</v>
      </c>
      <c r="F38" t="n">
        <v>525</v>
      </c>
      <c r="G38" t="inlineStr">
        <is>
          <t>C-</t>
        </is>
      </c>
      <c r="H38" t="n">
        <v/>
      </c>
      <c r="I38" t="n">
        <v>525</v>
      </c>
      <c r="J38" t="inlineStr">
        <is>
          <t>C-</t>
        </is>
      </c>
      <c r="K38" t="n">
        <v/>
      </c>
      <c r="L38" t="n">
        <v/>
      </c>
      <c r="M38" t="n">
        <v/>
      </c>
      <c r="N38" t="n">
        <v>80</v>
      </c>
      <c r="O38" t="n">
        <v>0</v>
      </c>
      <c r="P38" t="inlineStr">
        <is>
          <t>muy_nuevo</t>
        </is>
      </c>
      <c r="Q38" t="n">
        <v>1</v>
      </c>
    </row>
    <row r="39">
      <c r="A39" t="inlineStr">
        <is>
          <t>1117325921</t>
        </is>
      </c>
      <c r="B39" t="n">
        <v/>
      </c>
      <c r="C39" t="n">
        <v>300</v>
      </c>
      <c r="D39" t="n">
        <v>100</v>
      </c>
      <c r="E39" t="n">
        <v>125</v>
      </c>
      <c r="F39" t="n">
        <v>525</v>
      </c>
      <c r="G39" t="inlineStr">
        <is>
          <t>C-</t>
        </is>
      </c>
      <c r="H39" t="n">
        <v>764.0692640692641</v>
      </c>
      <c r="I39" t="n">
        <v>716.3</v>
      </c>
      <c r="J39" t="inlineStr">
        <is>
          <t>B</t>
        </is>
      </c>
      <c r="K39" t="n">
        <v/>
      </c>
      <c r="L39" t="n">
        <v/>
      </c>
      <c r="M39" t="n">
        <v/>
      </c>
      <c r="N39" t="n">
        <v>47.58455</v>
      </c>
      <c r="O39" t="n">
        <v>0</v>
      </c>
      <c r="P39" t="inlineStr">
        <is>
          <t>muy_nuevo</t>
        </is>
      </c>
      <c r="Q39" t="n">
        <v>0.2</v>
      </c>
    </row>
    <row r="40">
      <c r="A40" t="inlineStr">
        <is>
          <t>52189031</t>
        </is>
      </c>
      <c r="B40" t="n">
        <v/>
      </c>
      <c r="C40" t="n">
        <v>300</v>
      </c>
      <c r="D40" t="n">
        <v>100</v>
      </c>
      <c r="E40" t="n">
        <v>125</v>
      </c>
      <c r="F40" t="n">
        <v>525</v>
      </c>
      <c r="G40" t="inlineStr">
        <is>
          <t>C-</t>
        </is>
      </c>
      <c r="H40" t="n">
        <v>835.4978354978355</v>
      </c>
      <c r="I40" t="n">
        <v>773.4</v>
      </c>
      <c r="J40" t="inlineStr">
        <is>
          <t>B+</t>
        </is>
      </c>
      <c r="K40" t="n">
        <v/>
      </c>
      <c r="L40" t="n">
        <v/>
      </c>
      <c r="M40" t="n">
        <v/>
      </c>
      <c r="N40" t="n">
        <v>23.0858</v>
      </c>
      <c r="O40" t="n">
        <v>0</v>
      </c>
      <c r="P40" t="inlineStr">
        <is>
          <t>muy_nuevo</t>
        </is>
      </c>
      <c r="Q40" t="n">
        <v>0.2</v>
      </c>
    </row>
    <row r="41">
      <c r="A41" t="inlineStr">
        <is>
          <t>1030523525</t>
        </is>
      </c>
      <c r="B41" t="n">
        <v/>
      </c>
      <c r="C41" t="n">
        <v>300</v>
      </c>
      <c r="D41" t="n">
        <v>100</v>
      </c>
      <c r="E41" t="n">
        <v>125</v>
      </c>
      <c r="F41" t="n">
        <v>525</v>
      </c>
      <c r="G41" t="inlineStr">
        <is>
          <t>C-</t>
        </is>
      </c>
      <c r="H41" t="n">
        <v>696.969696969697</v>
      </c>
      <c r="I41" t="n">
        <v>662.6</v>
      </c>
      <c r="J41" t="inlineStr">
        <is>
          <t>B-</t>
        </is>
      </c>
      <c r="K41" t="n">
        <v/>
      </c>
      <c r="L41" t="n">
        <v/>
      </c>
      <c r="M41" t="n">
        <v/>
      </c>
      <c r="N41" t="n">
        <v>53.75853333333333</v>
      </c>
      <c r="O41" t="n">
        <v>0</v>
      </c>
      <c r="P41" t="inlineStr">
        <is>
          <t>muy_nuevo</t>
        </is>
      </c>
      <c r="Q41" t="n">
        <v>0.2</v>
      </c>
    </row>
    <row r="42">
      <c r="A42" t="inlineStr">
        <is>
          <t>8750047</t>
        </is>
      </c>
      <c r="B42" t="n">
        <v/>
      </c>
      <c r="C42" t="n">
        <v>300</v>
      </c>
      <c r="D42" t="n">
        <v>150</v>
      </c>
      <c r="E42" t="n">
        <v>125</v>
      </c>
      <c r="F42" t="n">
        <v>575</v>
      </c>
      <c r="G42" t="inlineStr">
        <is>
          <t>C</t>
        </is>
      </c>
      <c r="H42" t="n">
        <v>865.8008658008658</v>
      </c>
      <c r="I42" t="n">
        <v>807.6</v>
      </c>
      <c r="J42" t="inlineStr">
        <is>
          <t>A-</t>
        </is>
      </c>
      <c r="K42" t="n">
        <v/>
      </c>
      <c r="L42" t="n">
        <v/>
      </c>
      <c r="M42" t="n">
        <v/>
      </c>
      <c r="N42" t="n">
        <v>0.2</v>
      </c>
      <c r="O42" t="n">
        <v>0</v>
      </c>
      <c r="P42" t="inlineStr">
        <is>
          <t>muy_nuevo</t>
        </is>
      </c>
      <c r="Q42" t="n">
        <v>0.2</v>
      </c>
    </row>
    <row r="43">
      <c r="A43" t="inlineStr">
        <is>
          <t>1013343531</t>
        </is>
      </c>
      <c r="B43" t="n">
        <v/>
      </c>
      <c r="C43" t="n">
        <v>300</v>
      </c>
      <c r="D43" t="n">
        <v>100</v>
      </c>
      <c r="E43" t="n">
        <v>125</v>
      </c>
      <c r="F43" t="n">
        <v>525</v>
      </c>
      <c r="G43" t="inlineStr">
        <is>
          <t>C-</t>
        </is>
      </c>
      <c r="H43" t="n">
        <v>0</v>
      </c>
      <c r="I43" t="n">
        <v>105</v>
      </c>
      <c r="J43" t="inlineStr">
        <is>
          <t>D/F</t>
        </is>
      </c>
      <c r="K43" t="n">
        <v/>
      </c>
      <c r="L43" t="n">
        <v/>
      </c>
      <c r="M43" t="n">
        <v/>
      </c>
      <c r="N43" t="n">
        <v>0</v>
      </c>
      <c r="O43" t="n">
        <v>0</v>
      </c>
      <c r="P43" t="inlineStr">
        <is>
          <t>muy_nuevo</t>
        </is>
      </c>
      <c r="Q43" t="n">
        <v>0.2</v>
      </c>
    </row>
    <row r="44">
      <c r="A44" t="inlineStr">
        <is>
          <t>1018422493</t>
        </is>
      </c>
      <c r="B44" t="n">
        <v/>
      </c>
      <c r="C44" t="n">
        <v>300</v>
      </c>
      <c r="D44" t="n">
        <v>150</v>
      </c>
      <c r="E44" t="n">
        <v>125</v>
      </c>
      <c r="F44" t="n">
        <v>575</v>
      </c>
      <c r="G44" t="inlineStr">
        <is>
          <t>C</t>
        </is>
      </c>
      <c r="H44" t="n">
        <v>793.2900432900433</v>
      </c>
      <c r="I44" t="n">
        <v>749.6</v>
      </c>
      <c r="J44" t="inlineStr">
        <is>
          <t>B</t>
        </is>
      </c>
      <c r="K44" t="n">
        <v/>
      </c>
      <c r="L44" t="n">
        <v/>
      </c>
      <c r="M44" t="n">
        <v/>
      </c>
      <c r="N44" t="n">
        <v>10.626</v>
      </c>
      <c r="O44" t="n">
        <v>0</v>
      </c>
      <c r="P44" t="inlineStr">
        <is>
          <t>muy_nuevo</t>
        </is>
      </c>
      <c r="Q44" t="n">
        <v>0.2</v>
      </c>
    </row>
    <row r="45">
      <c r="A45" t="inlineStr">
        <is>
          <t>8031635</t>
        </is>
      </c>
      <c r="B45" t="n">
        <v/>
      </c>
      <c r="C45" t="n">
        <v>300</v>
      </c>
      <c r="D45" t="n">
        <v>100</v>
      </c>
      <c r="E45" t="n">
        <v>125</v>
      </c>
      <c r="F45" t="n">
        <v>525</v>
      </c>
      <c r="G45" t="inlineStr">
        <is>
          <t>C-</t>
        </is>
      </c>
      <c r="H45" t="n">
        <v>741.3419913419913</v>
      </c>
      <c r="I45" t="n">
        <v>698.1</v>
      </c>
      <c r="J45" t="inlineStr">
        <is>
          <t>B-</t>
        </is>
      </c>
      <c r="K45" t="n">
        <v/>
      </c>
      <c r="L45" t="n">
        <v/>
      </c>
      <c r="M45" t="n">
        <v/>
      </c>
      <c r="N45" t="n">
        <v>10.362</v>
      </c>
      <c r="O45" t="n">
        <v>0</v>
      </c>
      <c r="P45" t="inlineStr">
        <is>
          <t>muy_nuevo</t>
        </is>
      </c>
      <c r="Q45" t="n">
        <v>0.2</v>
      </c>
    </row>
    <row r="46">
      <c r="A46" t="inlineStr">
        <is>
          <t>41630907</t>
        </is>
      </c>
      <c r="B46" t="n">
        <v/>
      </c>
      <c r="C46" t="n">
        <v>300</v>
      </c>
      <c r="D46" t="n">
        <v>150</v>
      </c>
      <c r="E46" t="n">
        <v>125</v>
      </c>
      <c r="F46" t="n">
        <v>575</v>
      </c>
      <c r="G46" t="inlineStr">
        <is>
          <t>C</t>
        </is>
      </c>
      <c r="H46" t="n">
        <v>845.2380952380952</v>
      </c>
      <c r="I46" t="n">
        <v>791.2</v>
      </c>
      <c r="J46" t="inlineStr">
        <is>
          <t>B+</t>
        </is>
      </c>
      <c r="K46" t="n">
        <v/>
      </c>
      <c r="L46" t="n">
        <v/>
      </c>
      <c r="M46" t="n">
        <v/>
      </c>
      <c r="N46" t="n">
        <v>99.97613333333332</v>
      </c>
      <c r="O46" t="n">
        <v>0</v>
      </c>
      <c r="P46" t="inlineStr">
        <is>
          <t>muy_nuevo</t>
        </is>
      </c>
      <c r="Q46" t="n">
        <v>0.2</v>
      </c>
    </row>
    <row r="47">
      <c r="A47" t="inlineStr">
        <is>
          <t>1004269736</t>
        </is>
      </c>
      <c r="B47" t="n">
        <v/>
      </c>
      <c r="C47" t="n">
        <v>300</v>
      </c>
      <c r="D47" t="n">
        <v>50</v>
      </c>
      <c r="E47" t="n">
        <v>125</v>
      </c>
      <c r="F47" t="n">
        <v>475</v>
      </c>
      <c r="G47" t="inlineStr">
        <is>
          <t>D/F</t>
        </is>
      </c>
      <c r="H47" t="n">
        <v>260.8225108225108</v>
      </c>
      <c r="I47" t="n">
        <v>303.7</v>
      </c>
      <c r="J47" t="inlineStr">
        <is>
          <t>D/F</t>
        </is>
      </c>
      <c r="K47" t="n">
        <v/>
      </c>
      <c r="L47" t="n">
        <v/>
      </c>
      <c r="M47" t="n">
        <v/>
      </c>
      <c r="N47" t="n">
        <v>80.36666666666666</v>
      </c>
      <c r="O47" t="n">
        <v>0</v>
      </c>
      <c r="P47" t="inlineStr">
        <is>
          <t>muy_nuevo</t>
        </is>
      </c>
      <c r="Q47" t="n">
        <v>0.2</v>
      </c>
    </row>
    <row r="48">
      <c r="A48" t="inlineStr">
        <is>
          <t>50939076</t>
        </is>
      </c>
      <c r="B48" t="n">
        <v/>
      </c>
      <c r="C48" t="n">
        <v>300</v>
      </c>
      <c r="D48" t="n">
        <v>100</v>
      </c>
      <c r="E48" t="n">
        <v>125</v>
      </c>
      <c r="F48" t="n">
        <v>525</v>
      </c>
      <c r="G48" t="inlineStr">
        <is>
          <t>C-</t>
        </is>
      </c>
      <c r="H48" t="n">
        <v>656.9264069264069</v>
      </c>
      <c r="I48" t="n">
        <v>630.5</v>
      </c>
      <c r="J48" t="inlineStr">
        <is>
          <t>C+</t>
        </is>
      </c>
      <c r="K48" t="n">
        <v/>
      </c>
      <c r="L48" t="n">
        <v/>
      </c>
      <c r="M48" t="n">
        <v/>
      </c>
      <c r="N48" t="n">
        <v>0</v>
      </c>
      <c r="O48" t="n">
        <v>0</v>
      </c>
      <c r="P48" t="inlineStr">
        <is>
          <t>muy_nuevo</t>
        </is>
      </c>
      <c r="Q48" t="n">
        <v>0.2</v>
      </c>
    </row>
    <row r="49">
      <c r="A49" t="inlineStr">
        <is>
          <t>1062305545</t>
        </is>
      </c>
      <c r="B49" t="n">
        <v/>
      </c>
      <c r="C49" t="n">
        <v>300</v>
      </c>
      <c r="D49" t="n">
        <v>150</v>
      </c>
      <c r="E49" t="n">
        <v>125</v>
      </c>
      <c r="F49" t="n">
        <v>575</v>
      </c>
      <c r="G49" t="inlineStr">
        <is>
          <t>C</t>
        </is>
      </c>
      <c r="H49" t="n">
        <v>759.7402597402597</v>
      </c>
      <c r="I49" t="n">
        <v>722.8</v>
      </c>
      <c r="J49" t="inlineStr">
        <is>
          <t>B</t>
        </is>
      </c>
      <c r="K49" t="n">
        <v/>
      </c>
      <c r="L49" t="n">
        <v/>
      </c>
      <c r="M49" t="n">
        <v/>
      </c>
      <c r="N49" t="n">
        <v>89.6972</v>
      </c>
      <c r="O49" t="n">
        <v>0</v>
      </c>
      <c r="P49" t="inlineStr">
        <is>
          <t>muy_nuevo</t>
        </is>
      </c>
      <c r="Q49" t="n">
        <v>0.2</v>
      </c>
    </row>
    <row r="50">
      <c r="A50" t="inlineStr">
        <is>
          <t>1085297554</t>
        </is>
      </c>
      <c r="B50" t="n">
        <v/>
      </c>
      <c r="C50" t="n">
        <v>300</v>
      </c>
      <c r="D50" t="n">
        <v>150</v>
      </c>
      <c r="E50" t="n">
        <v>125</v>
      </c>
      <c r="F50" t="n">
        <v>575</v>
      </c>
      <c r="G50" t="inlineStr">
        <is>
          <t>C</t>
        </is>
      </c>
      <c r="H50" t="n">
        <v>902.5974025974026</v>
      </c>
      <c r="I50" t="n">
        <v>837.1</v>
      </c>
      <c r="J50" t="inlineStr">
        <is>
          <t>A-</t>
        </is>
      </c>
      <c r="K50" t="n">
        <v/>
      </c>
      <c r="L50" t="n">
        <v/>
      </c>
      <c r="M50" t="n">
        <v/>
      </c>
      <c r="N50" t="n">
        <v>36.00855</v>
      </c>
      <c r="O50" t="n">
        <v>0</v>
      </c>
      <c r="P50" t="inlineStr">
        <is>
          <t>muy_nuevo</t>
        </is>
      </c>
      <c r="Q50" t="n">
        <v>0.2</v>
      </c>
    </row>
    <row r="51">
      <c r="A51" t="inlineStr">
        <is>
          <t>1006426655</t>
        </is>
      </c>
      <c r="B51" t="n">
        <v/>
      </c>
      <c r="C51" t="n">
        <v>300</v>
      </c>
      <c r="D51" t="n">
        <v>100</v>
      </c>
      <c r="E51" t="n">
        <v>125</v>
      </c>
      <c r="F51" t="n">
        <v>525</v>
      </c>
      <c r="G51" t="inlineStr">
        <is>
          <t>C-</t>
        </is>
      </c>
      <c r="H51" t="n">
        <v>843.0735930735931</v>
      </c>
      <c r="I51" t="n">
        <v>779.5</v>
      </c>
      <c r="J51" t="inlineStr">
        <is>
          <t>B+</t>
        </is>
      </c>
      <c r="K51" t="n">
        <v/>
      </c>
      <c r="L51" t="n">
        <v/>
      </c>
      <c r="M51" t="n">
        <v/>
      </c>
      <c r="N51" t="n">
        <v>99.22875438596492</v>
      </c>
      <c r="O51" t="n">
        <v>0</v>
      </c>
      <c r="P51" t="inlineStr">
        <is>
          <t>muy_nuevo</t>
        </is>
      </c>
      <c r="Q51" t="n">
        <v>0.2</v>
      </c>
    </row>
    <row r="52">
      <c r="A52" t="inlineStr">
        <is>
          <t>29692891</t>
        </is>
      </c>
      <c r="B52" t="n">
        <v/>
      </c>
      <c r="C52" t="n">
        <v>300</v>
      </c>
      <c r="D52" t="n">
        <v>100</v>
      </c>
      <c r="E52" t="n">
        <v>125</v>
      </c>
      <c r="F52" t="n">
        <v>525</v>
      </c>
      <c r="G52" t="inlineStr">
        <is>
          <t>C-</t>
        </is>
      </c>
      <c r="H52" t="n">
        <v>717.5324675324675</v>
      </c>
      <c r="I52" t="n">
        <v>679</v>
      </c>
      <c r="J52" t="inlineStr">
        <is>
          <t>B-</t>
        </is>
      </c>
      <c r="K52" t="n">
        <v/>
      </c>
      <c r="L52" t="n">
        <v/>
      </c>
      <c r="M52" t="n">
        <v/>
      </c>
      <c r="N52" t="n">
        <v>127.0218</v>
      </c>
      <c r="O52" t="n">
        <v>0</v>
      </c>
      <c r="P52" t="inlineStr">
        <is>
          <t>muy_nuevo</t>
        </is>
      </c>
      <c r="Q52" t="n">
        <v>0.2</v>
      </c>
    </row>
    <row r="53">
      <c r="A53" t="inlineStr">
        <is>
          <t>1110566469</t>
        </is>
      </c>
      <c r="B53" t="n">
        <v/>
      </c>
      <c r="C53" t="n">
        <v>300</v>
      </c>
      <c r="D53" t="n">
        <v>150</v>
      </c>
      <c r="E53" t="n">
        <v>125</v>
      </c>
      <c r="F53" t="n">
        <v>575</v>
      </c>
      <c r="G53" t="inlineStr">
        <is>
          <t>C</t>
        </is>
      </c>
      <c r="H53" t="n">
        <v>793.2900432900433</v>
      </c>
      <c r="I53" t="n">
        <v>749.6</v>
      </c>
      <c r="J53" t="inlineStr">
        <is>
          <t>B</t>
        </is>
      </c>
      <c r="K53" t="n">
        <v/>
      </c>
      <c r="L53" t="n">
        <v/>
      </c>
      <c r="M53" t="n">
        <v/>
      </c>
      <c r="N53" t="n">
        <v>0</v>
      </c>
      <c r="O53" t="n">
        <v>0</v>
      </c>
      <c r="P53" t="inlineStr">
        <is>
          <t>muy_nuevo</t>
        </is>
      </c>
      <c r="Q53" t="n">
        <v>0.2</v>
      </c>
    </row>
    <row r="54">
      <c r="A54" t="inlineStr">
        <is>
          <t>1072168350</t>
        </is>
      </c>
      <c r="B54" t="n">
        <v/>
      </c>
      <c r="C54" t="n">
        <v>300</v>
      </c>
      <c r="D54" t="n">
        <v>150</v>
      </c>
      <c r="E54" t="n">
        <v>125</v>
      </c>
      <c r="F54" t="n">
        <v>575</v>
      </c>
      <c r="G54" t="inlineStr">
        <is>
          <t>C</t>
        </is>
      </c>
      <c r="H54" t="n">
        <v>893.9393939393939</v>
      </c>
      <c r="I54" t="n">
        <v>830.2</v>
      </c>
      <c r="J54" t="inlineStr">
        <is>
          <t>A-</t>
        </is>
      </c>
      <c r="K54" t="n">
        <v/>
      </c>
      <c r="L54" t="n">
        <v/>
      </c>
      <c r="M54" t="n">
        <v/>
      </c>
      <c r="N54" t="n">
        <v>20.6078</v>
      </c>
      <c r="O54" t="n">
        <v>0</v>
      </c>
      <c r="P54" t="inlineStr">
        <is>
          <t>muy_nuevo</t>
        </is>
      </c>
      <c r="Q54" t="n">
        <v>0.2</v>
      </c>
    </row>
    <row r="55">
      <c r="A55" t="inlineStr">
        <is>
          <t>1121866703</t>
        </is>
      </c>
      <c r="B55" t="n">
        <v/>
      </c>
      <c r="C55" t="n">
        <v>300</v>
      </c>
      <c r="D55" t="n">
        <v>100</v>
      </c>
      <c r="E55" t="n">
        <v>125</v>
      </c>
      <c r="F55" t="n">
        <v>525</v>
      </c>
      <c r="G55" t="inlineStr">
        <is>
          <t>C-</t>
        </is>
      </c>
      <c r="H55" t="n">
        <v>709.95670995671</v>
      </c>
      <c r="I55" t="n">
        <v>673</v>
      </c>
      <c r="J55" t="inlineStr">
        <is>
          <t>B-</t>
        </is>
      </c>
      <c r="K55" t="n">
        <v/>
      </c>
      <c r="L55" t="n">
        <v/>
      </c>
      <c r="M55" t="n">
        <v/>
      </c>
      <c r="N55" t="n">
        <v>40.6382</v>
      </c>
      <c r="O55" t="n">
        <v>0</v>
      </c>
      <c r="P55" t="inlineStr">
        <is>
          <t>muy_nuevo</t>
        </is>
      </c>
      <c r="Q55" t="n">
        <v>0.2</v>
      </c>
    </row>
    <row r="56">
      <c r="A56" t="inlineStr">
        <is>
          <t>1110540254</t>
        </is>
      </c>
      <c r="B56" t="n">
        <v/>
      </c>
      <c r="C56" t="n">
        <v>300</v>
      </c>
      <c r="D56" t="n">
        <v>100</v>
      </c>
      <c r="E56" t="n">
        <v>125</v>
      </c>
      <c r="F56" t="n">
        <v>525</v>
      </c>
      <c r="G56" t="inlineStr">
        <is>
          <t>C-</t>
        </is>
      </c>
      <c r="H56" t="n">
        <v>786.7965367965369</v>
      </c>
      <c r="I56" t="n">
        <v>734.4</v>
      </c>
      <c r="J56" t="inlineStr">
        <is>
          <t>B</t>
        </is>
      </c>
      <c r="K56" t="n">
        <v/>
      </c>
      <c r="L56" t="n">
        <v/>
      </c>
      <c r="M56" t="n">
        <v/>
      </c>
      <c r="N56" t="n">
        <v>62.29629629629629</v>
      </c>
      <c r="O56" t="n">
        <v>0</v>
      </c>
      <c r="P56" t="inlineStr">
        <is>
          <t>muy_nuevo</t>
        </is>
      </c>
      <c r="Q56" t="n">
        <v>0.2</v>
      </c>
    </row>
    <row r="57">
      <c r="A57" t="inlineStr">
        <is>
          <t>1034315787</t>
        </is>
      </c>
      <c r="B57" t="n">
        <v/>
      </c>
      <c r="C57" t="n">
        <v>300</v>
      </c>
      <c r="D57" t="n">
        <v>150</v>
      </c>
      <c r="E57" t="n">
        <v>125</v>
      </c>
      <c r="F57" t="n">
        <v>575</v>
      </c>
      <c r="G57" t="inlineStr">
        <is>
          <t>C</t>
        </is>
      </c>
      <c r="H57" t="n">
        <v>839.8268398268398</v>
      </c>
      <c r="I57" t="n">
        <v>786.9</v>
      </c>
      <c r="J57" t="inlineStr">
        <is>
          <t>B+</t>
        </is>
      </c>
      <c r="K57" t="n">
        <v/>
      </c>
      <c r="L57" t="n">
        <v/>
      </c>
      <c r="M57" t="n">
        <v/>
      </c>
      <c r="N57" t="n">
        <v>0</v>
      </c>
      <c r="O57" t="n">
        <v>0</v>
      </c>
      <c r="P57" t="inlineStr">
        <is>
          <t>muy_nuevo</t>
        </is>
      </c>
      <c r="Q57" t="n">
        <v>0.2</v>
      </c>
    </row>
    <row r="58">
      <c r="A58" t="inlineStr">
        <is>
          <t>900953782</t>
        </is>
      </c>
      <c r="B58" t="n">
        <v/>
      </c>
      <c r="C58" t="n">
        <v>300</v>
      </c>
      <c r="D58" t="n">
        <v>100</v>
      </c>
      <c r="E58" t="n">
        <v>125</v>
      </c>
      <c r="F58" t="n">
        <v>525</v>
      </c>
      <c r="G58" t="inlineStr">
        <is>
          <t>C-</t>
        </is>
      </c>
      <c r="H58" t="n">
        <v/>
      </c>
      <c r="I58" t="n">
        <v>525</v>
      </c>
      <c r="J58" t="inlineStr">
        <is>
          <t>C-</t>
        </is>
      </c>
      <c r="K58" t="n">
        <v/>
      </c>
      <c r="L58" t="n">
        <v/>
      </c>
      <c r="M58" t="n">
        <v/>
      </c>
      <c r="N58" t="n">
        <v>5.07182</v>
      </c>
      <c r="O58" t="n">
        <v>0</v>
      </c>
      <c r="P58" t="inlineStr">
        <is>
          <t>muy_nuevo</t>
        </is>
      </c>
      <c r="Q58" t="n">
        <v>1</v>
      </c>
    </row>
    <row r="59">
      <c r="A59" t="inlineStr">
        <is>
          <t>1040504519</t>
        </is>
      </c>
      <c r="B59" t="n">
        <v/>
      </c>
      <c r="C59" t="n">
        <v>300</v>
      </c>
      <c r="D59" t="n">
        <v>100</v>
      </c>
      <c r="E59" t="n">
        <v>125</v>
      </c>
      <c r="F59" t="n">
        <v>525</v>
      </c>
      <c r="G59" t="inlineStr">
        <is>
          <t>C-</t>
        </is>
      </c>
      <c r="H59" t="n">
        <v>812.7705627705628</v>
      </c>
      <c r="I59" t="n">
        <v>755.2</v>
      </c>
      <c r="J59" t="inlineStr">
        <is>
          <t>B+</t>
        </is>
      </c>
      <c r="K59" t="n">
        <v/>
      </c>
      <c r="L59" t="n">
        <v/>
      </c>
      <c r="M59" t="n">
        <v/>
      </c>
      <c r="N59" t="n">
        <v>98.57646153846152</v>
      </c>
      <c r="O59" t="n">
        <v>0</v>
      </c>
      <c r="P59" t="inlineStr">
        <is>
          <t>muy_nuevo</t>
        </is>
      </c>
      <c r="Q59" t="n">
        <v>0.2</v>
      </c>
    </row>
    <row r="60">
      <c r="A60" t="inlineStr">
        <is>
          <t>51822259</t>
        </is>
      </c>
      <c r="B60" t="n">
        <v/>
      </c>
      <c r="C60" t="n">
        <v>300</v>
      </c>
      <c r="D60" t="n">
        <v>150</v>
      </c>
      <c r="E60" t="n">
        <v>125</v>
      </c>
      <c r="F60" t="n">
        <v>575</v>
      </c>
      <c r="G60" t="inlineStr">
        <is>
          <t>C</t>
        </is>
      </c>
      <c r="H60" t="n">
        <v>847.4025974025974</v>
      </c>
      <c r="I60" t="n">
        <v>792.9</v>
      </c>
      <c r="J60" t="inlineStr">
        <is>
          <t>B+</t>
        </is>
      </c>
      <c r="K60" t="n">
        <v/>
      </c>
      <c r="L60" t="n">
        <v/>
      </c>
      <c r="M60" t="n">
        <v/>
      </c>
      <c r="N60" t="n">
        <v>0</v>
      </c>
      <c r="O60" t="n">
        <v>0</v>
      </c>
      <c r="P60" t="inlineStr">
        <is>
          <t>muy_nuevo</t>
        </is>
      </c>
      <c r="Q60" t="n">
        <v>0.2</v>
      </c>
    </row>
    <row r="61">
      <c r="A61" t="inlineStr">
        <is>
          <t>1121956216</t>
        </is>
      </c>
      <c r="B61" t="n">
        <v/>
      </c>
      <c r="C61" t="n">
        <v>300</v>
      </c>
      <c r="D61" t="n">
        <v>100</v>
      </c>
      <c r="E61" t="n">
        <v>125</v>
      </c>
      <c r="F61" t="n">
        <v>525</v>
      </c>
      <c r="G61" t="inlineStr">
        <is>
          <t>C-</t>
        </is>
      </c>
      <c r="H61" t="n">
        <v>743.5064935064936</v>
      </c>
      <c r="I61" t="n">
        <v>699.8</v>
      </c>
      <c r="J61" t="inlineStr">
        <is>
          <t>B-</t>
        </is>
      </c>
      <c r="K61" t="n">
        <v/>
      </c>
      <c r="L61" t="n">
        <v/>
      </c>
      <c r="M61" t="n">
        <v/>
      </c>
      <c r="N61" t="n">
        <v>90.71428571428572</v>
      </c>
      <c r="O61" t="n">
        <v>0</v>
      </c>
      <c r="P61" t="inlineStr">
        <is>
          <t>muy_nuevo</t>
        </is>
      </c>
      <c r="Q61" t="n">
        <v>0.2</v>
      </c>
    </row>
    <row r="62">
      <c r="A62" t="inlineStr">
        <is>
          <t>1067861940</t>
        </is>
      </c>
      <c r="B62" t="n">
        <v/>
      </c>
      <c r="C62" t="n">
        <v>300</v>
      </c>
      <c r="D62" t="n">
        <v>150</v>
      </c>
      <c r="E62" t="n">
        <v>125</v>
      </c>
      <c r="F62" t="n">
        <v>575</v>
      </c>
      <c r="G62" t="inlineStr">
        <is>
          <t>C</t>
        </is>
      </c>
      <c r="H62" t="n">
        <v>788.961038961039</v>
      </c>
      <c r="I62" t="n">
        <v>746.2</v>
      </c>
      <c r="J62" t="inlineStr">
        <is>
          <t>B</t>
        </is>
      </c>
      <c r="K62" t="n">
        <v/>
      </c>
      <c r="L62" t="n">
        <v/>
      </c>
      <c r="M62" t="n">
        <v/>
      </c>
      <c r="N62" t="n">
        <v>0</v>
      </c>
      <c r="O62" t="n">
        <v>0</v>
      </c>
      <c r="P62" t="inlineStr">
        <is>
          <t>muy_nuevo</t>
        </is>
      </c>
      <c r="Q62" t="n">
        <v>0.2</v>
      </c>
    </row>
    <row r="63">
      <c r="A63" t="inlineStr">
        <is>
          <t>46375727</t>
        </is>
      </c>
      <c r="B63" t="n">
        <v/>
      </c>
      <c r="C63" t="n">
        <v>300</v>
      </c>
      <c r="D63" t="n">
        <v>50</v>
      </c>
      <c r="E63" t="n">
        <v>125</v>
      </c>
      <c r="F63" t="n">
        <v>475</v>
      </c>
      <c r="G63" t="inlineStr">
        <is>
          <t>D/F</t>
        </is>
      </c>
      <c r="H63" t="n">
        <v>439.3939393939394</v>
      </c>
      <c r="I63" t="n">
        <v>446.5</v>
      </c>
      <c r="J63" t="inlineStr">
        <is>
          <t>D/F</t>
        </is>
      </c>
      <c r="K63" t="n">
        <v/>
      </c>
      <c r="L63" t="n">
        <v/>
      </c>
      <c r="M63" t="n">
        <v/>
      </c>
      <c r="N63" t="n">
        <v>75.6456</v>
      </c>
      <c r="O63" t="n">
        <v>0</v>
      </c>
      <c r="P63" t="inlineStr">
        <is>
          <t>muy_nuevo</t>
        </is>
      </c>
      <c r="Q63" t="n">
        <v>0.2</v>
      </c>
    </row>
    <row r="64">
      <c r="A64" t="inlineStr">
        <is>
          <t>78747121</t>
        </is>
      </c>
      <c r="B64" t="n">
        <v/>
      </c>
      <c r="C64" t="n">
        <v>300</v>
      </c>
      <c r="D64" t="n">
        <v>150</v>
      </c>
      <c r="E64" t="n">
        <v>125</v>
      </c>
      <c r="F64" t="n">
        <v>575</v>
      </c>
      <c r="G64" t="inlineStr">
        <is>
          <t>C</t>
        </is>
      </c>
      <c r="H64" t="n">
        <v>823.5930735930735</v>
      </c>
      <c r="I64" t="n">
        <v>773.9</v>
      </c>
      <c r="J64" t="inlineStr">
        <is>
          <t>B+</t>
        </is>
      </c>
      <c r="K64" t="n">
        <v/>
      </c>
      <c r="L64" t="n">
        <v/>
      </c>
      <c r="M64" t="n">
        <v/>
      </c>
      <c r="N64" t="n">
        <v>0</v>
      </c>
      <c r="O64" t="n">
        <v>0</v>
      </c>
      <c r="P64" t="inlineStr">
        <is>
          <t>muy_nuevo</t>
        </is>
      </c>
      <c r="Q64" t="n">
        <v>0.2</v>
      </c>
    </row>
    <row r="65">
      <c r="A65" t="inlineStr">
        <is>
          <t>1001481017</t>
        </is>
      </c>
      <c r="B65" t="n">
        <v/>
      </c>
      <c r="C65" t="n">
        <v>300</v>
      </c>
      <c r="D65" t="n">
        <v>150</v>
      </c>
      <c r="E65" t="n">
        <v>125</v>
      </c>
      <c r="F65" t="n">
        <v>575</v>
      </c>
      <c r="G65" t="inlineStr">
        <is>
          <t>C</t>
        </is>
      </c>
      <c r="H65" t="n">
        <v>798.7012987012987</v>
      </c>
      <c r="I65" t="n">
        <v>754</v>
      </c>
      <c r="J65" t="inlineStr">
        <is>
          <t>B+</t>
        </is>
      </c>
      <c r="K65" t="n">
        <v/>
      </c>
      <c r="L65" t="n">
        <v/>
      </c>
      <c r="M65" t="n">
        <v/>
      </c>
      <c r="N65" t="n">
        <v>0</v>
      </c>
      <c r="O65" t="n">
        <v>0</v>
      </c>
      <c r="P65" t="inlineStr">
        <is>
          <t>muy_nuevo</t>
        </is>
      </c>
      <c r="Q65" t="n">
        <v>0.2</v>
      </c>
    </row>
    <row r="66">
      <c r="A66" t="inlineStr">
        <is>
          <t>811038648</t>
        </is>
      </c>
      <c r="B66" t="n">
        <v/>
      </c>
      <c r="C66" t="n">
        <v>300</v>
      </c>
      <c r="D66" t="n">
        <v>100</v>
      </c>
      <c r="E66" t="n">
        <v>125</v>
      </c>
      <c r="F66" t="n">
        <v>525</v>
      </c>
      <c r="G66" t="inlineStr">
        <is>
          <t>C-</t>
        </is>
      </c>
      <c r="H66" t="n">
        <v/>
      </c>
      <c r="I66" t="n">
        <v>525</v>
      </c>
      <c r="J66" t="inlineStr">
        <is>
          <t>C-</t>
        </is>
      </c>
      <c r="K66" t="n">
        <v/>
      </c>
      <c r="L66" t="n">
        <v/>
      </c>
      <c r="M66" t="n">
        <v/>
      </c>
      <c r="N66" t="n">
        <v>0</v>
      </c>
      <c r="O66" t="n">
        <v>0</v>
      </c>
      <c r="P66" t="inlineStr">
        <is>
          <t>muy_nuevo</t>
        </is>
      </c>
      <c r="Q66" t="n">
        <v>1</v>
      </c>
    </row>
    <row r="67">
      <c r="A67" t="inlineStr">
        <is>
          <t>74185826</t>
        </is>
      </c>
      <c r="B67" t="n">
        <v/>
      </c>
      <c r="C67" t="n">
        <v>300</v>
      </c>
      <c r="D67" t="n">
        <v>150</v>
      </c>
      <c r="E67" t="n">
        <v>125</v>
      </c>
      <c r="F67" t="n">
        <v>575</v>
      </c>
      <c r="G67" t="inlineStr">
        <is>
          <t>C</t>
        </is>
      </c>
      <c r="H67" t="n">
        <v>874.4588744588744</v>
      </c>
      <c r="I67" t="n">
        <v>814.6</v>
      </c>
      <c r="J67" t="inlineStr">
        <is>
          <t>A-</t>
        </is>
      </c>
      <c r="K67" t="n">
        <v/>
      </c>
      <c r="L67" t="n">
        <v/>
      </c>
      <c r="M67" t="n">
        <v/>
      </c>
      <c r="N67" t="n">
        <v>34.2606</v>
      </c>
      <c r="O67" t="n">
        <v>0</v>
      </c>
      <c r="P67" t="inlineStr">
        <is>
          <t>muy_nuevo</t>
        </is>
      </c>
      <c r="Q67" t="n">
        <v>0.2</v>
      </c>
    </row>
    <row r="68">
      <c r="A68" t="inlineStr">
        <is>
          <t>1110459403</t>
        </is>
      </c>
      <c r="B68" t="n">
        <v/>
      </c>
      <c r="C68" t="n">
        <v>300</v>
      </c>
      <c r="D68" t="n">
        <v>100</v>
      </c>
      <c r="E68" t="n">
        <v>125</v>
      </c>
      <c r="F68" t="n">
        <v>525</v>
      </c>
      <c r="G68" t="inlineStr">
        <is>
          <t>C-</t>
        </is>
      </c>
      <c r="H68" t="n">
        <v>840.909090909091</v>
      </c>
      <c r="I68" t="n">
        <v>777.7</v>
      </c>
      <c r="J68" t="inlineStr">
        <is>
          <t>B+</t>
        </is>
      </c>
      <c r="K68" t="n">
        <v/>
      </c>
      <c r="L68" t="n">
        <v/>
      </c>
      <c r="M68" t="n">
        <v/>
      </c>
      <c r="N68" t="n">
        <v>29.02666666666667</v>
      </c>
      <c r="O68" t="n">
        <v>0</v>
      </c>
      <c r="P68" t="inlineStr">
        <is>
          <t>muy_nuevo</t>
        </is>
      </c>
      <c r="Q68" t="n">
        <v>0.2</v>
      </c>
    </row>
    <row r="69">
      <c r="A69" t="inlineStr">
        <is>
          <t>6876777</t>
        </is>
      </c>
      <c r="B69" t="n">
        <v/>
      </c>
      <c r="C69" t="n">
        <v>300</v>
      </c>
      <c r="D69" t="n">
        <v>150</v>
      </c>
      <c r="E69" t="n">
        <v>125</v>
      </c>
      <c r="F69" t="n">
        <v>575</v>
      </c>
      <c r="G69" t="inlineStr">
        <is>
          <t>C</t>
        </is>
      </c>
      <c r="H69" t="n">
        <v>820.3463203463203</v>
      </c>
      <c r="I69" t="n">
        <v>771.3</v>
      </c>
      <c r="J69" t="inlineStr">
        <is>
          <t>B+</t>
        </is>
      </c>
      <c r="K69" t="n">
        <v/>
      </c>
      <c r="L69" t="n">
        <v/>
      </c>
      <c r="M69" t="n">
        <v/>
      </c>
      <c r="N69" t="n">
        <v>37.83744444444444</v>
      </c>
      <c r="O69" t="n">
        <v>0</v>
      </c>
      <c r="P69" t="inlineStr">
        <is>
          <t>muy_nuevo</t>
        </is>
      </c>
      <c r="Q69" t="n">
        <v>0.2</v>
      </c>
    </row>
    <row r="70">
      <c r="A70" t="inlineStr">
        <is>
          <t>1122650546</t>
        </is>
      </c>
      <c r="B70" t="n">
        <v/>
      </c>
      <c r="C70" t="n">
        <v>300</v>
      </c>
      <c r="D70" t="n">
        <v>100</v>
      </c>
      <c r="E70" t="n">
        <v>125</v>
      </c>
      <c r="F70" t="n">
        <v>525</v>
      </c>
      <c r="G70" t="inlineStr">
        <is>
          <t>C-</t>
        </is>
      </c>
      <c r="H70" t="n">
        <v>808.4415584415584</v>
      </c>
      <c r="I70" t="n">
        <v>751.8</v>
      </c>
      <c r="J70" t="inlineStr">
        <is>
          <t>B+</t>
        </is>
      </c>
      <c r="K70" t="n">
        <v/>
      </c>
      <c r="L70" t="n">
        <v/>
      </c>
      <c r="M70" t="n">
        <v/>
      </c>
      <c r="N70" t="n">
        <v>63.70244444444444</v>
      </c>
      <c r="O70" t="n">
        <v>0</v>
      </c>
      <c r="P70" t="inlineStr">
        <is>
          <t>muy_nuevo</t>
        </is>
      </c>
      <c r="Q70" t="n">
        <v>0.2</v>
      </c>
    </row>
    <row r="71">
      <c r="A71" t="inlineStr">
        <is>
          <t>80148722</t>
        </is>
      </c>
      <c r="B71" t="n">
        <v/>
      </c>
      <c r="C71" t="n">
        <v>300</v>
      </c>
      <c r="D71" t="n">
        <v>100</v>
      </c>
      <c r="E71" t="n">
        <v>125</v>
      </c>
      <c r="F71" t="n">
        <v>525</v>
      </c>
      <c r="G71" t="inlineStr">
        <is>
          <t>C-</t>
        </is>
      </c>
      <c r="H71" t="n">
        <v>754.3290043290043</v>
      </c>
      <c r="I71" t="n">
        <v>708.5</v>
      </c>
      <c r="J71" t="inlineStr">
        <is>
          <t>B</t>
        </is>
      </c>
      <c r="K71" t="n">
        <v/>
      </c>
      <c r="L71" t="n">
        <v/>
      </c>
      <c r="M71" t="n">
        <v/>
      </c>
      <c r="N71" t="n">
        <v>76.54814814814814</v>
      </c>
      <c r="O71" t="n">
        <v>0</v>
      </c>
      <c r="P71" t="inlineStr">
        <is>
          <t>muy_nuevo</t>
        </is>
      </c>
      <c r="Q71" t="n">
        <v>0.2</v>
      </c>
    </row>
    <row r="72">
      <c r="A72" t="inlineStr">
        <is>
          <t>52353437</t>
        </is>
      </c>
      <c r="B72" t="n">
        <v/>
      </c>
      <c r="C72" t="n">
        <v>300</v>
      </c>
      <c r="D72" t="n">
        <v>50</v>
      </c>
      <c r="E72" t="n">
        <v>125</v>
      </c>
      <c r="F72" t="n">
        <v>475</v>
      </c>
      <c r="G72" t="inlineStr">
        <is>
          <t>D/F</t>
        </is>
      </c>
      <c r="H72" t="n">
        <v>370.1298701298701</v>
      </c>
      <c r="I72" t="n">
        <v>391.1</v>
      </c>
      <c r="J72" t="inlineStr">
        <is>
          <t>D/F</t>
        </is>
      </c>
      <c r="K72" t="n">
        <v/>
      </c>
      <c r="L72" t="n">
        <v/>
      </c>
      <c r="M72" t="n">
        <v/>
      </c>
      <c r="N72" t="n">
        <v>99.461</v>
      </c>
      <c r="O72" t="n">
        <v>0</v>
      </c>
      <c r="P72" t="inlineStr">
        <is>
          <t>muy_nuevo</t>
        </is>
      </c>
      <c r="Q72" t="n">
        <v>0.2</v>
      </c>
    </row>
    <row r="73">
      <c r="A73" t="inlineStr">
        <is>
          <t>1003204632</t>
        </is>
      </c>
      <c r="B73" t="n">
        <v/>
      </c>
      <c r="C73" t="n">
        <v>300</v>
      </c>
      <c r="D73" t="n">
        <v>100</v>
      </c>
      <c r="E73" t="n">
        <v>125</v>
      </c>
      <c r="F73" t="n">
        <v>525</v>
      </c>
      <c r="G73" t="inlineStr">
        <is>
          <t>C-</t>
        </is>
      </c>
      <c r="H73" t="n">
        <v>704.5454545454546</v>
      </c>
      <c r="I73" t="n">
        <v>668.6</v>
      </c>
      <c r="J73" t="inlineStr">
        <is>
          <t>B-</t>
        </is>
      </c>
      <c r="K73" t="n">
        <v/>
      </c>
      <c r="L73" t="n">
        <v/>
      </c>
      <c r="M73" t="n">
        <v/>
      </c>
      <c r="N73" t="n">
        <v>42.4245</v>
      </c>
      <c r="O73" t="n">
        <v>0</v>
      </c>
      <c r="P73" t="inlineStr">
        <is>
          <t>muy_nuevo</t>
        </is>
      </c>
      <c r="Q73" t="n">
        <v>0.2</v>
      </c>
    </row>
    <row r="74">
      <c r="A74" t="inlineStr">
        <is>
          <t>1110550458</t>
        </is>
      </c>
      <c r="B74" t="n">
        <v/>
      </c>
      <c r="C74" t="n">
        <v>300</v>
      </c>
      <c r="D74" t="n">
        <v>150</v>
      </c>
      <c r="E74" t="n">
        <v>125</v>
      </c>
      <c r="F74" t="n">
        <v>575</v>
      </c>
      <c r="G74" t="inlineStr">
        <is>
          <t>C</t>
        </is>
      </c>
      <c r="H74" t="n">
        <v>859.3073593073593</v>
      </c>
      <c r="I74" t="n">
        <v>802.4</v>
      </c>
      <c r="J74" t="inlineStr">
        <is>
          <t>A-</t>
        </is>
      </c>
      <c r="K74" t="n">
        <v/>
      </c>
      <c r="L74" t="n">
        <v/>
      </c>
      <c r="M74" t="n">
        <v/>
      </c>
      <c r="N74" t="n">
        <v>43.57366666666667</v>
      </c>
      <c r="O74" t="n">
        <v>0</v>
      </c>
      <c r="P74" t="inlineStr">
        <is>
          <t>muy_nuevo</t>
        </is>
      </c>
      <c r="Q74" t="n">
        <v>0.2</v>
      </c>
    </row>
    <row r="75">
      <c r="A75" t="inlineStr">
        <is>
          <t>1117498135</t>
        </is>
      </c>
      <c r="B75" t="n">
        <v/>
      </c>
      <c r="C75" t="n">
        <v>300</v>
      </c>
      <c r="D75" t="n">
        <v>150</v>
      </c>
      <c r="E75" t="n">
        <v>125</v>
      </c>
      <c r="F75" t="n">
        <v>575</v>
      </c>
      <c r="G75" t="inlineStr">
        <is>
          <t>C</t>
        </is>
      </c>
      <c r="H75" t="n">
        <v>785.7142857142857</v>
      </c>
      <c r="I75" t="n">
        <v>743.6</v>
      </c>
      <c r="J75" t="inlineStr">
        <is>
          <t>B</t>
        </is>
      </c>
      <c r="K75" t="n">
        <v/>
      </c>
      <c r="L75" t="n">
        <v/>
      </c>
      <c r="M75" t="n">
        <v/>
      </c>
      <c r="N75" t="n">
        <v>0</v>
      </c>
      <c r="O75" t="n">
        <v>0</v>
      </c>
      <c r="P75" t="inlineStr">
        <is>
          <t>muy_nuevo</t>
        </is>
      </c>
      <c r="Q75" t="n">
        <v>0.2</v>
      </c>
    </row>
    <row r="76">
      <c r="A76" t="inlineStr">
        <is>
          <t>1090367822</t>
        </is>
      </c>
      <c r="B76" t="n">
        <v/>
      </c>
      <c r="C76" t="n">
        <v>300</v>
      </c>
      <c r="D76" t="n">
        <v>100</v>
      </c>
      <c r="E76" t="n">
        <v>125</v>
      </c>
      <c r="F76" t="n">
        <v>525</v>
      </c>
      <c r="G76" t="inlineStr">
        <is>
          <t>C-</t>
        </is>
      </c>
      <c r="H76" t="n">
        <v>699.1341991341992</v>
      </c>
      <c r="I76" t="n">
        <v>664.3</v>
      </c>
      <c r="J76" t="inlineStr">
        <is>
          <t>B-</t>
        </is>
      </c>
      <c r="K76" t="n">
        <v/>
      </c>
      <c r="L76" t="n">
        <v/>
      </c>
      <c r="M76" t="n">
        <v/>
      </c>
      <c r="N76" t="n">
        <v>30.47666666666667</v>
      </c>
      <c r="O76" t="n">
        <v>0</v>
      </c>
      <c r="P76" t="inlineStr">
        <is>
          <t>muy_nuevo</t>
        </is>
      </c>
      <c r="Q76" t="n">
        <v>0.2</v>
      </c>
    </row>
    <row r="77">
      <c r="A77" t="inlineStr">
        <is>
          <t>35502422</t>
        </is>
      </c>
      <c r="B77" t="n">
        <v/>
      </c>
      <c r="C77" t="n">
        <v>300</v>
      </c>
      <c r="D77" t="n">
        <v>100</v>
      </c>
      <c r="E77" t="n">
        <v>125</v>
      </c>
      <c r="F77" t="n">
        <v>525</v>
      </c>
      <c r="G77" t="inlineStr">
        <is>
          <t>C-</t>
        </is>
      </c>
      <c r="H77" t="n">
        <v>814.9350649350649</v>
      </c>
      <c r="I77" t="n">
        <v>756.9</v>
      </c>
      <c r="J77" t="inlineStr">
        <is>
          <t>B+</t>
        </is>
      </c>
      <c r="K77" t="n">
        <v/>
      </c>
      <c r="L77" t="n">
        <v/>
      </c>
      <c r="M77" t="n">
        <v/>
      </c>
      <c r="N77" t="n">
        <v>58.19276666666666</v>
      </c>
      <c r="O77" t="n">
        <v>0</v>
      </c>
      <c r="P77" t="inlineStr">
        <is>
          <t>muy_nuevo</t>
        </is>
      </c>
      <c r="Q77" t="n">
        <v>0.2</v>
      </c>
    </row>
    <row r="78">
      <c r="A78" t="inlineStr">
        <is>
          <t>901553361</t>
        </is>
      </c>
      <c r="B78" t="n">
        <v/>
      </c>
      <c r="C78" t="n">
        <v>300</v>
      </c>
      <c r="D78" t="n">
        <v>100</v>
      </c>
      <c r="E78" t="n">
        <v>125</v>
      </c>
      <c r="F78" t="n">
        <v>525</v>
      </c>
      <c r="G78" t="inlineStr">
        <is>
          <t>C-</t>
        </is>
      </c>
      <c r="H78" t="n">
        <v/>
      </c>
      <c r="I78" t="n">
        <v>525</v>
      </c>
      <c r="J78" t="inlineStr">
        <is>
          <t>C-</t>
        </is>
      </c>
      <c r="K78" t="n">
        <v/>
      </c>
      <c r="L78" t="n">
        <v/>
      </c>
      <c r="M78" t="n">
        <v/>
      </c>
      <c r="N78" t="n">
        <v>71.0762</v>
      </c>
      <c r="O78" t="n">
        <v>0</v>
      </c>
      <c r="P78" t="inlineStr">
        <is>
          <t>muy_nuevo</t>
        </is>
      </c>
      <c r="Q78" t="n">
        <v>1</v>
      </c>
    </row>
    <row r="79">
      <c r="A79" t="inlineStr">
        <is>
          <t>900987092</t>
        </is>
      </c>
      <c r="B79" t="n">
        <v/>
      </c>
      <c r="C79" t="n">
        <v>300</v>
      </c>
      <c r="D79" t="n">
        <v>100</v>
      </c>
      <c r="E79" t="n">
        <v>125</v>
      </c>
      <c r="F79" t="n">
        <v>525</v>
      </c>
      <c r="G79" t="inlineStr">
        <is>
          <t>C-</t>
        </is>
      </c>
      <c r="H79" t="n">
        <v/>
      </c>
      <c r="I79" t="n">
        <v>525</v>
      </c>
      <c r="J79" t="inlineStr">
        <is>
          <t>C-</t>
        </is>
      </c>
      <c r="K79" t="n">
        <v/>
      </c>
      <c r="L79" t="n">
        <v/>
      </c>
      <c r="M79" t="n">
        <v/>
      </c>
      <c r="N79" t="n">
        <v>78.64738823529412</v>
      </c>
      <c r="O79" t="n">
        <v>0</v>
      </c>
      <c r="P79" t="inlineStr">
        <is>
          <t>muy_nuevo</t>
        </is>
      </c>
      <c r="Q79" t="n">
        <v>1</v>
      </c>
    </row>
    <row r="80">
      <c r="A80" t="inlineStr">
        <is>
          <t>1005626334</t>
        </is>
      </c>
      <c r="B80" t="n">
        <v/>
      </c>
      <c r="C80" t="n">
        <v>300</v>
      </c>
      <c r="D80" t="n">
        <v>150</v>
      </c>
      <c r="E80" t="n">
        <v>125</v>
      </c>
      <c r="F80" t="n">
        <v>575</v>
      </c>
      <c r="G80" t="inlineStr">
        <is>
          <t>C</t>
        </is>
      </c>
      <c r="H80" t="n">
        <v>790.04329004329</v>
      </c>
      <c r="I80" t="n">
        <v>747</v>
      </c>
      <c r="J80" t="inlineStr">
        <is>
          <t>B</t>
        </is>
      </c>
      <c r="K80" t="n">
        <v/>
      </c>
      <c r="L80" t="n">
        <v/>
      </c>
      <c r="M80" t="n">
        <v/>
      </c>
      <c r="N80" t="n">
        <v>0</v>
      </c>
      <c r="O80" t="n">
        <v>0</v>
      </c>
      <c r="P80" t="inlineStr">
        <is>
          <t>muy_nuevo</t>
        </is>
      </c>
      <c r="Q80" t="n">
        <v>0.2</v>
      </c>
    </row>
    <row r="81">
      <c r="A81" t="inlineStr">
        <is>
          <t>52995417</t>
        </is>
      </c>
      <c r="B81" t="n">
        <v/>
      </c>
      <c r="C81" t="n">
        <v>300</v>
      </c>
      <c r="D81" t="n">
        <v>150</v>
      </c>
      <c r="E81" t="n">
        <v>125</v>
      </c>
      <c r="F81" t="n">
        <v>575</v>
      </c>
      <c r="G81" t="inlineStr">
        <is>
          <t>C</t>
        </is>
      </c>
      <c r="H81" t="n">
        <v>902.5974025974026</v>
      </c>
      <c r="I81" t="n">
        <v>837.1</v>
      </c>
      <c r="J81" t="inlineStr">
        <is>
          <t>A-</t>
        </is>
      </c>
      <c r="K81" t="n">
        <v/>
      </c>
      <c r="L81" t="n">
        <v/>
      </c>
      <c r="M81" t="n">
        <v/>
      </c>
      <c r="N81" t="n">
        <v>0</v>
      </c>
      <c r="O81" t="n">
        <v>0</v>
      </c>
      <c r="P81" t="inlineStr">
        <is>
          <t>muy_nuevo</t>
        </is>
      </c>
      <c r="Q81" t="n">
        <v>0.2</v>
      </c>
    </row>
    <row r="82">
      <c r="A82" t="inlineStr">
        <is>
          <t>1074811615</t>
        </is>
      </c>
      <c r="B82" t="n">
        <v/>
      </c>
      <c r="C82" t="n">
        <v>300</v>
      </c>
      <c r="D82" t="n">
        <v>100</v>
      </c>
      <c r="E82" t="n">
        <v>125</v>
      </c>
      <c r="F82" t="n">
        <v>525</v>
      </c>
      <c r="G82" t="inlineStr">
        <is>
          <t>C-</t>
        </is>
      </c>
      <c r="H82" t="n">
        <v>0</v>
      </c>
      <c r="I82" t="n">
        <v>105</v>
      </c>
      <c r="J82" t="inlineStr">
        <is>
          <t>D/F</t>
        </is>
      </c>
      <c r="K82" t="n">
        <v/>
      </c>
      <c r="L82" t="n">
        <v/>
      </c>
      <c r="M82" t="n">
        <v/>
      </c>
      <c r="N82" t="n">
        <v>93.04163636363636</v>
      </c>
      <c r="O82" t="n">
        <v>0</v>
      </c>
      <c r="P82" t="inlineStr">
        <is>
          <t>muy_nuevo</t>
        </is>
      </c>
      <c r="Q82" t="n">
        <v>0.2</v>
      </c>
    </row>
    <row r="83">
      <c r="A83" t="inlineStr">
        <is>
          <t>1098651098</t>
        </is>
      </c>
      <c r="B83" t="n">
        <v/>
      </c>
      <c r="C83" t="n">
        <v>300</v>
      </c>
      <c r="D83" t="n">
        <v>150</v>
      </c>
      <c r="E83" t="n">
        <v>125</v>
      </c>
      <c r="F83" t="n">
        <v>575</v>
      </c>
      <c r="G83" t="inlineStr">
        <is>
          <t>C</t>
        </is>
      </c>
      <c r="H83" t="n">
        <v>843.0735930735931</v>
      </c>
      <c r="I83" t="n">
        <v>789.5</v>
      </c>
      <c r="J83" t="inlineStr">
        <is>
          <t>B+</t>
        </is>
      </c>
      <c r="K83" t="n">
        <v/>
      </c>
      <c r="L83" t="n">
        <v/>
      </c>
      <c r="M83" t="n">
        <v/>
      </c>
      <c r="N83" t="n">
        <v>102.9014352941176</v>
      </c>
      <c r="O83" t="n">
        <v>0</v>
      </c>
      <c r="P83" t="inlineStr">
        <is>
          <t>muy_nuevo</t>
        </is>
      </c>
      <c r="Q83" t="n">
        <v>0.2</v>
      </c>
    </row>
    <row r="84">
      <c r="A84" t="inlineStr">
        <is>
          <t>901925760</t>
        </is>
      </c>
      <c r="B84" t="n">
        <v/>
      </c>
      <c r="C84" t="n">
        <v>300</v>
      </c>
      <c r="D84" t="n">
        <v>100</v>
      </c>
      <c r="E84" t="n">
        <v>125</v>
      </c>
      <c r="F84" t="n">
        <v>525</v>
      </c>
      <c r="G84" t="inlineStr">
        <is>
          <t>C-</t>
        </is>
      </c>
      <c r="H84" t="n">
        <v/>
      </c>
      <c r="I84" t="n">
        <v>525</v>
      </c>
      <c r="J84" t="inlineStr">
        <is>
          <t>C-</t>
        </is>
      </c>
      <c r="K84" t="n">
        <v/>
      </c>
      <c r="L84" t="n">
        <v/>
      </c>
      <c r="M84" t="n">
        <v/>
      </c>
      <c r="N84" t="n">
        <v>23.132</v>
      </c>
      <c r="O84" t="n">
        <v>0</v>
      </c>
      <c r="P84" t="inlineStr">
        <is>
          <t>muy_nuevo</t>
        </is>
      </c>
      <c r="Q84" t="n">
        <v>1</v>
      </c>
    </row>
    <row r="85">
      <c r="A85" t="inlineStr">
        <is>
          <t>900557498</t>
        </is>
      </c>
      <c r="B85" t="n">
        <v/>
      </c>
      <c r="C85" t="n">
        <v>300</v>
      </c>
      <c r="D85" t="n">
        <v>100</v>
      </c>
      <c r="E85" t="n">
        <v>125</v>
      </c>
      <c r="F85" t="n">
        <v>525</v>
      </c>
      <c r="G85" t="inlineStr">
        <is>
          <t>C-</t>
        </is>
      </c>
      <c r="H85" t="n">
        <v/>
      </c>
      <c r="I85" t="n">
        <v>525</v>
      </c>
      <c r="J85" t="inlineStr">
        <is>
          <t>C-</t>
        </is>
      </c>
      <c r="K85" t="n">
        <v/>
      </c>
      <c r="L85" t="n">
        <v/>
      </c>
      <c r="M85" t="n">
        <v/>
      </c>
      <c r="N85" t="n">
        <v>15.60064705882353</v>
      </c>
      <c r="O85" t="n">
        <v>0</v>
      </c>
      <c r="P85" t="inlineStr">
        <is>
          <t>muy_nuevo</t>
        </is>
      </c>
      <c r="Q85" t="n">
        <v>1</v>
      </c>
    </row>
    <row r="86">
      <c r="A86" t="inlineStr">
        <is>
          <t>49717943</t>
        </is>
      </c>
      <c r="B86" t="n">
        <v/>
      </c>
      <c r="C86" t="n">
        <v>300</v>
      </c>
      <c r="D86" t="n">
        <v>100</v>
      </c>
      <c r="E86" t="n">
        <v>125</v>
      </c>
      <c r="F86" t="n">
        <v>525</v>
      </c>
      <c r="G86" t="inlineStr">
        <is>
          <t>C-</t>
        </is>
      </c>
      <c r="H86" t="n">
        <v>692.6406926406926</v>
      </c>
      <c r="I86" t="n">
        <v>659.1</v>
      </c>
      <c r="J86" t="inlineStr">
        <is>
          <t>B-</t>
        </is>
      </c>
      <c r="K86" t="n">
        <v/>
      </c>
      <c r="L86" t="n">
        <v/>
      </c>
      <c r="M86" t="n">
        <v/>
      </c>
      <c r="N86" t="n">
        <v>0</v>
      </c>
      <c r="O86" t="n">
        <v>0</v>
      </c>
      <c r="P86" t="inlineStr">
        <is>
          <t>muy_nuevo</t>
        </is>
      </c>
      <c r="Q86" t="n">
        <v>0.2</v>
      </c>
    </row>
    <row r="87">
      <c r="A87" t="inlineStr">
        <is>
          <t>1081847344</t>
        </is>
      </c>
      <c r="B87" t="n">
        <v/>
      </c>
      <c r="C87" t="n">
        <v>300</v>
      </c>
      <c r="D87" t="n">
        <v>100</v>
      </c>
      <c r="E87" t="n">
        <v>125</v>
      </c>
      <c r="F87" t="n">
        <v>525</v>
      </c>
      <c r="G87" t="inlineStr">
        <is>
          <t>C-</t>
        </is>
      </c>
      <c r="H87" t="n">
        <v>729.4372294372295</v>
      </c>
      <c r="I87" t="n">
        <v>688.5</v>
      </c>
      <c r="J87" t="inlineStr">
        <is>
          <t>B-</t>
        </is>
      </c>
      <c r="K87" t="n">
        <v/>
      </c>
      <c r="L87" t="n">
        <v/>
      </c>
      <c r="M87" t="n">
        <v/>
      </c>
      <c r="N87" t="n">
        <v>87.3271</v>
      </c>
      <c r="O87" t="n">
        <v>0</v>
      </c>
      <c r="P87" t="inlineStr">
        <is>
          <t>muy_nuevo</t>
        </is>
      </c>
      <c r="Q87" t="n">
        <v>0.2</v>
      </c>
    </row>
    <row r="88">
      <c r="A88" t="inlineStr">
        <is>
          <t>40447312</t>
        </is>
      </c>
      <c r="B88" t="n">
        <v/>
      </c>
      <c r="C88" t="n">
        <v>300</v>
      </c>
      <c r="D88" t="n">
        <v>150</v>
      </c>
      <c r="E88" t="n">
        <v>125</v>
      </c>
      <c r="F88" t="n">
        <v>575</v>
      </c>
      <c r="G88" t="inlineStr">
        <is>
          <t>C</t>
        </is>
      </c>
      <c r="H88" t="n">
        <v>895.0216450216451</v>
      </c>
      <c r="I88" t="n">
        <v>831</v>
      </c>
      <c r="J88" t="inlineStr">
        <is>
          <t>A-</t>
        </is>
      </c>
      <c r="K88" t="n">
        <v/>
      </c>
      <c r="L88" t="n">
        <v/>
      </c>
      <c r="M88" t="n">
        <v/>
      </c>
      <c r="N88" t="n">
        <v>43.43895</v>
      </c>
      <c r="O88" t="n">
        <v>0</v>
      </c>
      <c r="P88" t="inlineStr">
        <is>
          <t>muy_nuevo</t>
        </is>
      </c>
      <c r="Q88" t="n">
        <v>0.2</v>
      </c>
    </row>
    <row r="89">
      <c r="A89" t="inlineStr">
        <is>
          <t>51745086</t>
        </is>
      </c>
      <c r="B89" t="n">
        <v/>
      </c>
      <c r="C89" t="n">
        <v>300</v>
      </c>
      <c r="D89" t="n">
        <v>150</v>
      </c>
      <c r="E89" t="n">
        <v>125</v>
      </c>
      <c r="F89" t="n">
        <v>575</v>
      </c>
      <c r="G89" t="inlineStr">
        <is>
          <t>C</t>
        </is>
      </c>
      <c r="H89" t="n">
        <v>794.3722943722944</v>
      </c>
      <c r="I89" t="n">
        <v>750.5</v>
      </c>
      <c r="J89" t="inlineStr">
        <is>
          <t>B+</t>
        </is>
      </c>
      <c r="K89" t="n">
        <v/>
      </c>
      <c r="L89" t="n">
        <v/>
      </c>
      <c r="M89" t="n">
        <v/>
      </c>
      <c r="N89" t="n">
        <v>0</v>
      </c>
      <c r="O89" t="n">
        <v>0</v>
      </c>
      <c r="P89" t="inlineStr">
        <is>
          <t>muy_nuevo</t>
        </is>
      </c>
      <c r="Q89" t="n">
        <v>0.2</v>
      </c>
    </row>
    <row r="90">
      <c r="A90" t="inlineStr">
        <is>
          <t>35527100</t>
        </is>
      </c>
      <c r="B90" t="n">
        <v/>
      </c>
      <c r="C90" t="n">
        <v>300</v>
      </c>
      <c r="D90" t="n">
        <v>150</v>
      </c>
      <c r="E90" t="n">
        <v>125</v>
      </c>
      <c r="F90" t="n">
        <v>575</v>
      </c>
      <c r="G90" t="inlineStr">
        <is>
          <t>C</t>
        </is>
      </c>
      <c r="H90" t="n">
        <v>862.5541125541125</v>
      </c>
      <c r="I90" t="n">
        <v>805</v>
      </c>
      <c r="J90" t="inlineStr">
        <is>
          <t>A-</t>
        </is>
      </c>
      <c r="K90" t="n">
        <v/>
      </c>
      <c r="L90" t="n">
        <v/>
      </c>
      <c r="M90" t="n">
        <v/>
      </c>
      <c r="N90" t="n">
        <v>15.7685</v>
      </c>
      <c r="O90" t="n">
        <v>0</v>
      </c>
      <c r="P90" t="inlineStr">
        <is>
          <t>muy_nuevo</t>
        </is>
      </c>
      <c r="Q90" t="n">
        <v>0.2</v>
      </c>
    </row>
    <row r="91">
      <c r="A91" t="inlineStr">
        <is>
          <t>1043972244</t>
        </is>
      </c>
      <c r="B91" t="n">
        <v/>
      </c>
      <c r="C91" t="n">
        <v>300</v>
      </c>
      <c r="D91" t="n">
        <v>150</v>
      </c>
      <c r="E91" t="n">
        <v>125</v>
      </c>
      <c r="F91" t="n">
        <v>575</v>
      </c>
      <c r="G91" t="inlineStr">
        <is>
          <t>C</t>
        </is>
      </c>
      <c r="H91" t="n">
        <v>772.7272727272727</v>
      </c>
      <c r="I91" t="n">
        <v>733.2</v>
      </c>
      <c r="J91" t="inlineStr">
        <is>
          <t>B</t>
        </is>
      </c>
      <c r="K91" t="n">
        <v/>
      </c>
      <c r="L91" t="n">
        <v/>
      </c>
      <c r="M91" t="n">
        <v/>
      </c>
      <c r="N91" t="n">
        <v>82.9127</v>
      </c>
      <c r="O91" t="n">
        <v>0</v>
      </c>
      <c r="P91" t="inlineStr">
        <is>
          <t>muy_nuevo</t>
        </is>
      </c>
      <c r="Q91" t="n">
        <v>0.2</v>
      </c>
    </row>
    <row r="92">
      <c r="A92" t="inlineStr">
        <is>
          <t>1055917415</t>
        </is>
      </c>
      <c r="B92" t="n">
        <v/>
      </c>
      <c r="C92" t="n">
        <v>300</v>
      </c>
      <c r="D92" t="n">
        <v>100</v>
      </c>
      <c r="E92" t="n">
        <v>125</v>
      </c>
      <c r="F92" t="n">
        <v>525</v>
      </c>
      <c r="G92" t="inlineStr">
        <is>
          <t>C-</t>
        </is>
      </c>
      <c r="H92" t="n">
        <v>837.6623376623377</v>
      </c>
      <c r="I92" t="n">
        <v>775.1</v>
      </c>
      <c r="J92" t="inlineStr">
        <is>
          <t>B+</t>
        </is>
      </c>
      <c r="K92" t="n">
        <v/>
      </c>
      <c r="L92" t="n">
        <v/>
      </c>
      <c r="M92" t="n">
        <v/>
      </c>
      <c r="N92" t="n">
        <v>26.67375</v>
      </c>
      <c r="O92" t="n">
        <v>0</v>
      </c>
      <c r="P92" t="inlineStr">
        <is>
          <t>muy_nuevo</t>
        </is>
      </c>
      <c r="Q92" t="n">
        <v>0.2</v>
      </c>
    </row>
    <row r="93">
      <c r="A93" t="inlineStr">
        <is>
          <t>901833873</t>
        </is>
      </c>
      <c r="B93" t="n">
        <v/>
      </c>
      <c r="C93" t="n">
        <v>300</v>
      </c>
      <c r="D93" t="n">
        <v>100</v>
      </c>
      <c r="E93" t="n">
        <v>125</v>
      </c>
      <c r="F93" t="n">
        <v>525</v>
      </c>
      <c r="G93" t="inlineStr">
        <is>
          <t>C-</t>
        </is>
      </c>
      <c r="H93" t="n">
        <v/>
      </c>
      <c r="I93" t="n">
        <v>525</v>
      </c>
      <c r="J93" t="inlineStr">
        <is>
          <t>C-</t>
        </is>
      </c>
      <c r="K93" t="n">
        <v/>
      </c>
      <c r="L93" t="n">
        <v/>
      </c>
      <c r="M93" t="n">
        <v/>
      </c>
      <c r="N93" t="n">
        <v>0</v>
      </c>
      <c r="O93" t="n">
        <v>0</v>
      </c>
      <c r="P93" t="inlineStr">
        <is>
          <t>muy_nuevo</t>
        </is>
      </c>
      <c r="Q93" t="n">
        <v>1</v>
      </c>
    </row>
    <row r="94">
      <c r="A94" t="inlineStr">
        <is>
          <t>901591492</t>
        </is>
      </c>
      <c r="B94" t="n">
        <v/>
      </c>
      <c r="C94" t="n">
        <v>300</v>
      </c>
      <c r="D94" t="n">
        <v>100</v>
      </c>
      <c r="E94" t="n">
        <v>125</v>
      </c>
      <c r="F94" t="n">
        <v>525</v>
      </c>
      <c r="G94" t="inlineStr">
        <is>
          <t>C-</t>
        </is>
      </c>
      <c r="H94" t="n">
        <v/>
      </c>
      <c r="I94" t="n">
        <v>525</v>
      </c>
      <c r="J94" t="inlineStr">
        <is>
          <t>C-</t>
        </is>
      </c>
      <c r="K94" t="n">
        <v/>
      </c>
      <c r="L94" t="n">
        <v/>
      </c>
      <c r="M94" t="n">
        <v/>
      </c>
      <c r="N94" t="n">
        <v>65.96164166666667</v>
      </c>
      <c r="O94" t="n">
        <v>0</v>
      </c>
      <c r="P94" t="inlineStr">
        <is>
          <t>muy_nuevo</t>
        </is>
      </c>
      <c r="Q94" t="n">
        <v>1</v>
      </c>
    </row>
    <row r="95">
      <c r="A95" t="inlineStr">
        <is>
          <t>1013647285</t>
        </is>
      </c>
      <c r="B95" t="n">
        <v/>
      </c>
      <c r="C95" t="n">
        <v>300</v>
      </c>
      <c r="D95" t="n">
        <v>150</v>
      </c>
      <c r="E95" t="n">
        <v>125</v>
      </c>
      <c r="F95" t="n">
        <v>575</v>
      </c>
      <c r="G95" t="inlineStr">
        <is>
          <t>C</t>
        </is>
      </c>
      <c r="H95" t="n">
        <v>862.5541125541125</v>
      </c>
      <c r="I95" t="n">
        <v>805</v>
      </c>
      <c r="J95" t="inlineStr">
        <is>
          <t>A-</t>
        </is>
      </c>
      <c r="K95" t="n">
        <v/>
      </c>
      <c r="L95" t="n">
        <v/>
      </c>
      <c r="M95" t="n">
        <v/>
      </c>
      <c r="N95" t="n">
        <v>41.47345</v>
      </c>
      <c r="O95" t="n">
        <v>0</v>
      </c>
      <c r="P95" t="inlineStr">
        <is>
          <t>muy_nuevo</t>
        </is>
      </c>
      <c r="Q95" t="n">
        <v>0.2</v>
      </c>
    </row>
    <row r="96">
      <c r="A96" t="inlineStr">
        <is>
          <t>83249858</t>
        </is>
      </c>
      <c r="B96" t="n">
        <v/>
      </c>
      <c r="C96" t="n">
        <v>300</v>
      </c>
      <c r="D96" t="n">
        <v>50</v>
      </c>
      <c r="E96" t="n">
        <v>125</v>
      </c>
      <c r="F96" t="n">
        <v>475</v>
      </c>
      <c r="G96" t="inlineStr">
        <is>
          <t>D/F</t>
        </is>
      </c>
      <c r="H96" t="n">
        <v>492.4242424242424</v>
      </c>
      <c r="I96" t="n">
        <v>488.9</v>
      </c>
      <c r="J96" t="inlineStr">
        <is>
          <t>D/F</t>
        </is>
      </c>
      <c r="K96" t="n">
        <v/>
      </c>
      <c r="L96" t="n">
        <v/>
      </c>
      <c r="M96" t="n">
        <v/>
      </c>
      <c r="N96" t="n">
        <v>98.86153333333333</v>
      </c>
      <c r="O96" t="n">
        <v>0</v>
      </c>
      <c r="P96" t="inlineStr">
        <is>
          <t>muy_nuevo</t>
        </is>
      </c>
      <c r="Q96" t="n">
        <v>0.2</v>
      </c>
    </row>
    <row r="97">
      <c r="A97" t="inlineStr">
        <is>
          <t>901833525</t>
        </is>
      </c>
      <c r="B97" t="n">
        <v/>
      </c>
      <c r="C97" t="n">
        <v>300</v>
      </c>
      <c r="D97" t="n">
        <v>100</v>
      </c>
      <c r="E97" t="n">
        <v>125</v>
      </c>
      <c r="F97" t="n">
        <v>525</v>
      </c>
      <c r="G97" t="inlineStr">
        <is>
          <t>C-</t>
        </is>
      </c>
      <c r="H97" t="n">
        <v/>
      </c>
      <c r="I97" t="n">
        <v>525</v>
      </c>
      <c r="J97" t="inlineStr">
        <is>
          <t>C-</t>
        </is>
      </c>
      <c r="K97" t="n">
        <v/>
      </c>
      <c r="L97" t="n">
        <v/>
      </c>
      <c r="M97" t="n">
        <v/>
      </c>
      <c r="N97" t="n">
        <v>72.6404</v>
      </c>
      <c r="O97" t="n">
        <v>0</v>
      </c>
      <c r="P97" t="inlineStr">
        <is>
          <t>muy_nuevo</t>
        </is>
      </c>
      <c r="Q97" t="n">
        <v>1</v>
      </c>
    </row>
    <row r="98">
      <c r="A98" t="inlineStr">
        <is>
          <t>63357425</t>
        </is>
      </c>
      <c r="B98" t="n">
        <v/>
      </c>
      <c r="C98" t="n">
        <v>300</v>
      </c>
      <c r="D98" t="n">
        <v>150</v>
      </c>
      <c r="E98" t="n">
        <v>125</v>
      </c>
      <c r="F98" t="n">
        <v>575</v>
      </c>
      <c r="G98" t="inlineStr">
        <is>
          <t>C</t>
        </is>
      </c>
      <c r="H98" t="n">
        <v>911.2554112554112</v>
      </c>
      <c r="I98" t="n">
        <v>844</v>
      </c>
      <c r="J98" t="inlineStr">
        <is>
          <t>A-</t>
        </is>
      </c>
      <c r="K98" t="n">
        <v/>
      </c>
      <c r="L98" t="n">
        <v/>
      </c>
      <c r="M98" t="n">
        <v/>
      </c>
      <c r="N98" t="n">
        <v>0</v>
      </c>
      <c r="O98" t="n">
        <v>0</v>
      </c>
      <c r="P98" t="inlineStr">
        <is>
          <t>muy_nuevo</t>
        </is>
      </c>
      <c r="Q98" t="n">
        <v>0.2</v>
      </c>
    </row>
    <row r="99">
      <c r="A99" t="inlineStr">
        <is>
          <t>80262722</t>
        </is>
      </c>
      <c r="B99" t="n">
        <v/>
      </c>
      <c r="C99" t="n">
        <v>530</v>
      </c>
      <c r="D99" t="n">
        <v>50</v>
      </c>
      <c r="E99" t="n">
        <v>250</v>
      </c>
      <c r="F99" t="n">
        <v>830</v>
      </c>
      <c r="G99" t="inlineStr">
        <is>
          <t>A-</t>
        </is>
      </c>
      <c r="H99" t="n">
        <v>496.7532467532468</v>
      </c>
      <c r="I99" t="n">
        <v>563.4</v>
      </c>
      <c r="J99" t="inlineStr">
        <is>
          <t>C</t>
        </is>
      </c>
      <c r="K99" t="n">
        <v>1</v>
      </c>
      <c r="L99" t="n">
        <v>-19</v>
      </c>
      <c r="M99" t="n">
        <v>0</v>
      </c>
      <c r="N99" t="n">
        <v>103.8</v>
      </c>
      <c r="O99" t="n">
        <v>0</v>
      </c>
      <c r="P99" t="inlineStr">
        <is>
          <t>muy_nuevo</t>
        </is>
      </c>
      <c r="Q99" t="n">
        <v>0.2</v>
      </c>
    </row>
    <row r="100">
      <c r="A100" t="inlineStr">
        <is>
          <t>44152359</t>
        </is>
      </c>
      <c r="B100" t="n">
        <v/>
      </c>
      <c r="C100" t="n">
        <v>300</v>
      </c>
      <c r="D100" t="n">
        <v>150</v>
      </c>
      <c r="E100" t="n">
        <v>125</v>
      </c>
      <c r="F100" t="n">
        <v>575</v>
      </c>
      <c r="G100" t="inlineStr">
        <is>
          <t>C</t>
        </is>
      </c>
      <c r="H100" t="n">
        <v>885.2813852813854</v>
      </c>
      <c r="I100" t="n">
        <v>823.2</v>
      </c>
      <c r="J100" t="inlineStr">
        <is>
          <t>A-</t>
        </is>
      </c>
      <c r="K100" t="n">
        <v/>
      </c>
      <c r="L100" t="n">
        <v/>
      </c>
      <c r="M100" t="n">
        <v/>
      </c>
      <c r="N100" t="n">
        <v>26.6159</v>
      </c>
      <c r="O100" t="n">
        <v>0</v>
      </c>
      <c r="P100" t="inlineStr">
        <is>
          <t>muy_nuevo</t>
        </is>
      </c>
      <c r="Q100" t="n">
        <v>0.2</v>
      </c>
    </row>
    <row r="101">
      <c r="A101" t="inlineStr">
        <is>
          <t>901404416</t>
        </is>
      </c>
      <c r="B101" t="n">
        <v/>
      </c>
      <c r="C101" t="n">
        <v>300</v>
      </c>
      <c r="D101" t="n">
        <v>100</v>
      </c>
      <c r="E101" t="n">
        <v>125</v>
      </c>
      <c r="F101" t="n">
        <v>525</v>
      </c>
      <c r="G101" t="inlineStr">
        <is>
          <t>C-</t>
        </is>
      </c>
      <c r="H101" t="n">
        <v/>
      </c>
      <c r="I101" t="n">
        <v>525</v>
      </c>
      <c r="J101" t="inlineStr">
        <is>
          <t>C-</t>
        </is>
      </c>
      <c r="K101" t="n">
        <v/>
      </c>
      <c r="L101" t="n">
        <v/>
      </c>
      <c r="M101" t="n">
        <v/>
      </c>
      <c r="N101" t="n">
        <v>11.40875</v>
      </c>
      <c r="O101" t="n">
        <v>0</v>
      </c>
      <c r="P101" t="inlineStr">
        <is>
          <t>muy_nuevo</t>
        </is>
      </c>
      <c r="Q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3" t="inlineStr">
        <is>
          <t>ID Cliente</t>
        </is>
      </c>
      <c r="B1" s="13" t="inlineStr">
        <is>
          <t>Nombre</t>
        </is>
      </c>
      <c r="C1" s="13" t="inlineStr">
        <is>
          <t>Comp 1 (Base)</t>
        </is>
      </c>
      <c r="D1" s="13" t="inlineStr">
        <is>
          <t>Comp 2 (Base)</t>
        </is>
      </c>
      <c r="E1" s="13" t="inlineStr">
        <is>
          <t>Comp 3 (Base)</t>
        </is>
      </c>
      <c r="F1" s="13" t="inlineStr">
        <is>
          <t>Comp 1 (Simulado)</t>
        </is>
      </c>
      <c r="G1" s="13" t="inlineStr">
        <is>
          <t>Comp 2 (Simulado)</t>
        </is>
      </c>
      <c r="H1" s="13" t="inlineStr">
        <is>
          <t>Comp 3 (Simulado)</t>
        </is>
      </c>
      <c r="I1" s="13" t="inlineStr">
        <is>
          <t>Score Base</t>
        </is>
      </c>
      <c r="J1" s="13" t="inlineStr">
        <is>
          <t>Penalizaciones</t>
        </is>
      </c>
      <c r="K1" s="13" t="inlineStr">
        <is>
          <t>Bonificaciones</t>
        </is>
      </c>
      <c r="L1" s="13" t="inlineStr">
        <is>
          <t>Score Simulado PLATAM</t>
        </is>
      </c>
      <c r="M1" s="13" t="inlineStr">
        <is>
          <t>Score HCPN</t>
        </is>
      </c>
      <c r="N1" s="13" t="inlineStr">
        <is>
          <t>Peso PLATAM</t>
        </is>
      </c>
      <c r="O1" s="13" t="inlineStr">
        <is>
          <t>Peso HCPN</t>
        </is>
      </c>
      <c r="P1" s="13" t="inlineStr">
        <is>
          <t>Score Híbrido Simulado</t>
        </is>
      </c>
      <c r="Q1" s="13" t="inlineStr">
        <is>
          <t>Rating Simulado</t>
        </is>
      </c>
      <c r="R1" s="13" t="inlineStr">
        <is>
          <t>Cambio vs Base</t>
        </is>
      </c>
    </row>
    <row r="2">
      <c r="A2">
        <f>'📊 Datos Originales'!A2</f>
        <v/>
      </c>
      <c r="B2">
        <f>'📊 Datos Originales'!B2</f>
        <v/>
      </c>
      <c r="C2">
        <f>'📊 Datos Originales'!C2</f>
        <v/>
      </c>
      <c r="D2">
        <f>'📊 Datos Originales'!D2</f>
        <v/>
      </c>
      <c r="E2">
        <f>'📊 Datos Originales'!E2</f>
        <v/>
      </c>
      <c r="F2">
        <f>(C2/600)*'🎛️ PANEL DE CONTROL'!B6</f>
        <v/>
      </c>
      <c r="G2">
        <f>(D2/150)*'🎛️ PANEL DE CONTROL'!B7</f>
        <v/>
      </c>
      <c r="H2">
        <f>(E2/250)*'🎛️ PANEL DE CONTROL'!B8</f>
        <v/>
      </c>
      <c r="I2">
        <f>F2+G2+H2</f>
        <v/>
      </c>
      <c r="J2">
        <f>=IF('📊 Datos Originales'!L2&gt;30, '🎛️ PANEL DE CONTROL'!B13, 0)+=IF('📊 Datos Originales'!N2&gt;80, '🎛️ PANEL DE CONTROL'!B15, 0)</f>
        <v/>
      </c>
      <c r="K2">
        <f>=IF('📊 Datos Originales'!M2&lt;10, '🎛️ PANEL DE CONTROL'!B14, 0)+=IF('📊 Datos Originales'!O2&gt;24, '🎛️ PANEL DE CONTROL'!B16, 0)</f>
        <v/>
      </c>
      <c r="L2">
        <f>MAX(0, MIN(1000, I2-J2+K2))</f>
        <v/>
      </c>
      <c r="M2">
        <f>'📊 Datos Originales'!H2</f>
        <v/>
      </c>
      <c r="N2" s="6">
        <f>IF('📊 Datos Originales'!P2="muy_nuevo", '🎛️ PANEL DE CONTROL'!B20,
                            IF('📊 Datos Originales'!P2="nuevo", '🎛️ PANEL DE CONTROL'!B21,
                            IF('📊 Datos Originales'!P2="intermedio", '🎛️ PANEL DE CONTROL'!B22,
                            IF('📊 Datos Originales'!P2="establecido", '🎛️ PANEL DE CONTROL'!B23,
                            '🎛️ PANEL DE CONTROL'!B24))))</f>
        <v/>
      </c>
      <c r="O2" s="6">
        <f>1-N2</f>
        <v/>
      </c>
      <c r="P2">
        <f>(L2*N2)+(M2*O2)</f>
        <v/>
      </c>
      <c r="Q2">
        <f>IF(P2&gt;='🎛️ PANEL DE CONTROL'!B28, "A+",
                            IF(P2&gt;='🎛️ PANEL DE CONTROL'!B29, "A",
                            IF(P2&gt;='🎛️ PANEL DE CONTROL'!B30, "A-",
                            IF(P2&gt;='🎛️ PANEL DE CONTROL'!B31, "B+",
                            IF(P2&gt;='🎛️ PANEL DE CONTROL'!B32, "B",
                            IF(P2&gt;='🎛️ PANEL DE CONTROL'!B33, "B-",
                            IF(P2&gt;='🎛️ PANEL DE CONTROL'!B34, "C+",
                            IF(P2&gt;='🎛️ PANEL DE CONTROL'!B35, "C",
                            IF(P2&gt;='🎛️ PANEL DE CONTROL'!B36, "C-",
                            IF(P2&gt;='🎛️ PANEL DE CONTROL'!B37, "D", "F"))))))))))</f>
        <v/>
      </c>
      <c r="R2">
        <f>P2-'📊 Datos Originales'!I2</f>
        <v/>
      </c>
    </row>
    <row r="3">
      <c r="A3">
        <f>'📊 Datos Originales'!A3</f>
        <v/>
      </c>
      <c r="B3">
        <f>'📊 Datos Originales'!B3</f>
        <v/>
      </c>
      <c r="C3">
        <f>'📊 Datos Originales'!C3</f>
        <v/>
      </c>
      <c r="D3">
        <f>'📊 Datos Originales'!D3</f>
        <v/>
      </c>
      <c r="E3">
        <f>'📊 Datos Originales'!E3</f>
        <v/>
      </c>
      <c r="F3">
        <f>(C3/600)*'🎛️ PANEL DE CONTROL'!B6</f>
        <v/>
      </c>
      <c r="G3">
        <f>(D3/150)*'🎛️ PANEL DE CONTROL'!B7</f>
        <v/>
      </c>
      <c r="H3">
        <f>(E3/250)*'🎛️ PANEL DE CONTROL'!B8</f>
        <v/>
      </c>
      <c r="I3">
        <f>F3+G3+H3</f>
        <v/>
      </c>
      <c r="J3">
        <f>=IF('📊 Datos Originales'!L3&gt;30, '🎛️ PANEL DE CONTROL'!B13, 0)+=IF('📊 Datos Originales'!N3&gt;80, '🎛️ PANEL DE CONTROL'!B15, 0)</f>
        <v/>
      </c>
      <c r="K3">
        <f>=IF('📊 Datos Originales'!M3&lt;10, '🎛️ PANEL DE CONTROL'!B14, 0)+=IF('📊 Datos Originales'!O3&gt;24, '🎛️ PANEL DE CONTROL'!B16, 0)</f>
        <v/>
      </c>
      <c r="L3">
        <f>MAX(0, MIN(1000, I3-J3+K3))</f>
        <v/>
      </c>
      <c r="M3">
        <f>'📊 Datos Originales'!H3</f>
        <v/>
      </c>
      <c r="N3" s="6">
        <f>IF('📊 Datos Originales'!P3="muy_nuevo", '🎛️ PANEL DE CONTROL'!B20,
                            IF('📊 Datos Originales'!P3="nuevo", '🎛️ PANEL DE CONTROL'!B21,
                            IF('📊 Datos Originales'!P3="intermedio", '🎛️ PANEL DE CONTROL'!B22,
                            IF('📊 Datos Originales'!P3="establecido", '🎛️ PANEL DE CONTROL'!B23,
                            '🎛️ PANEL DE CONTROL'!B24))))</f>
        <v/>
      </c>
      <c r="O3" s="6">
        <f>1-N3</f>
        <v/>
      </c>
      <c r="P3">
        <f>(L3*N3)+(M3*O3)</f>
        <v/>
      </c>
      <c r="Q3">
        <f>IF(P3&gt;='🎛️ PANEL DE CONTROL'!B28, "A+",
                            IF(P3&gt;='🎛️ PANEL DE CONTROL'!B29, "A",
                            IF(P3&gt;='🎛️ PANEL DE CONTROL'!B30, "A-",
                            IF(P3&gt;='🎛️ PANEL DE CONTROL'!B31, "B+",
                            IF(P3&gt;='🎛️ PANEL DE CONTROL'!B32, "B",
                            IF(P3&gt;='🎛️ PANEL DE CONTROL'!B33, "B-",
                            IF(P3&gt;='🎛️ PANEL DE CONTROL'!B34, "C+",
                            IF(P3&gt;='🎛️ PANEL DE CONTROL'!B35, "C",
                            IF(P3&gt;='🎛️ PANEL DE CONTROL'!B36, "C-",
                            IF(P3&gt;='🎛️ PANEL DE CONTROL'!B37, "D", "F"))))))))))</f>
        <v/>
      </c>
      <c r="R3">
        <f>P3-'📊 Datos Originales'!I3</f>
        <v/>
      </c>
    </row>
    <row r="4">
      <c r="A4">
        <f>'📊 Datos Originales'!A4</f>
        <v/>
      </c>
      <c r="B4">
        <f>'📊 Datos Originales'!B4</f>
        <v/>
      </c>
      <c r="C4">
        <f>'📊 Datos Originales'!C4</f>
        <v/>
      </c>
      <c r="D4">
        <f>'📊 Datos Originales'!D4</f>
        <v/>
      </c>
      <c r="E4">
        <f>'📊 Datos Originales'!E4</f>
        <v/>
      </c>
      <c r="F4">
        <f>(C4/600)*'🎛️ PANEL DE CONTROL'!B6</f>
        <v/>
      </c>
      <c r="G4">
        <f>(D4/150)*'🎛️ PANEL DE CONTROL'!B7</f>
        <v/>
      </c>
      <c r="H4">
        <f>(E4/250)*'🎛️ PANEL DE CONTROL'!B8</f>
        <v/>
      </c>
      <c r="I4">
        <f>F4+G4+H4</f>
        <v/>
      </c>
      <c r="J4">
        <f>=IF('📊 Datos Originales'!L4&gt;30, '🎛️ PANEL DE CONTROL'!B13, 0)+=IF('📊 Datos Originales'!N4&gt;80, '🎛️ PANEL DE CONTROL'!B15, 0)</f>
        <v/>
      </c>
      <c r="K4">
        <f>=IF('📊 Datos Originales'!M4&lt;10, '🎛️ PANEL DE CONTROL'!B14, 0)+=IF('📊 Datos Originales'!O4&gt;24, '🎛️ PANEL DE CONTROL'!B16, 0)</f>
        <v/>
      </c>
      <c r="L4">
        <f>MAX(0, MIN(1000, I4-J4+K4))</f>
        <v/>
      </c>
      <c r="M4">
        <f>'📊 Datos Originales'!H4</f>
        <v/>
      </c>
      <c r="N4" s="6">
        <f>IF('📊 Datos Originales'!P4="muy_nuevo", '🎛️ PANEL DE CONTROL'!B20,
                            IF('📊 Datos Originales'!P4="nuevo", '🎛️ PANEL DE CONTROL'!B21,
                            IF('📊 Datos Originales'!P4="intermedio", '🎛️ PANEL DE CONTROL'!B22,
                            IF('📊 Datos Originales'!P4="establecido", '🎛️ PANEL DE CONTROL'!B23,
                            '🎛️ PANEL DE CONTROL'!B24))))</f>
        <v/>
      </c>
      <c r="O4" s="6">
        <f>1-N4</f>
        <v/>
      </c>
      <c r="P4">
        <f>(L4*N4)+(M4*O4)</f>
        <v/>
      </c>
      <c r="Q4">
        <f>IF(P4&gt;='🎛️ PANEL DE CONTROL'!B28, "A+",
                            IF(P4&gt;='🎛️ PANEL DE CONTROL'!B29, "A",
                            IF(P4&gt;='🎛️ PANEL DE CONTROL'!B30, "A-",
                            IF(P4&gt;='🎛️ PANEL DE CONTROL'!B31, "B+",
                            IF(P4&gt;='🎛️ PANEL DE CONTROL'!B32, "B",
                            IF(P4&gt;='🎛️ PANEL DE CONTROL'!B33, "B-",
                            IF(P4&gt;='🎛️ PANEL DE CONTROL'!B34, "C+",
                            IF(P4&gt;='🎛️ PANEL DE CONTROL'!B35, "C",
                            IF(P4&gt;='🎛️ PANEL DE CONTROL'!B36, "C-",
                            IF(P4&gt;='🎛️ PANEL DE CONTROL'!B37, "D", "F"))))))))))</f>
        <v/>
      </c>
      <c r="R4">
        <f>P4-'📊 Datos Originales'!I4</f>
        <v/>
      </c>
    </row>
    <row r="5">
      <c r="A5">
        <f>'📊 Datos Originales'!A5</f>
        <v/>
      </c>
      <c r="B5">
        <f>'📊 Datos Originales'!B5</f>
        <v/>
      </c>
      <c r="C5">
        <f>'📊 Datos Originales'!C5</f>
        <v/>
      </c>
      <c r="D5">
        <f>'📊 Datos Originales'!D5</f>
        <v/>
      </c>
      <c r="E5">
        <f>'📊 Datos Originales'!E5</f>
        <v/>
      </c>
      <c r="F5">
        <f>(C5/600)*'🎛️ PANEL DE CONTROL'!B6</f>
        <v/>
      </c>
      <c r="G5">
        <f>(D5/150)*'🎛️ PANEL DE CONTROL'!B7</f>
        <v/>
      </c>
      <c r="H5">
        <f>(E5/250)*'🎛️ PANEL DE CONTROL'!B8</f>
        <v/>
      </c>
      <c r="I5">
        <f>F5+G5+H5</f>
        <v/>
      </c>
      <c r="J5">
        <f>=IF('📊 Datos Originales'!L5&gt;30, '🎛️ PANEL DE CONTROL'!B13, 0)+=IF('📊 Datos Originales'!N5&gt;80, '🎛️ PANEL DE CONTROL'!B15, 0)</f>
        <v/>
      </c>
      <c r="K5">
        <f>=IF('📊 Datos Originales'!M5&lt;10, '🎛️ PANEL DE CONTROL'!B14, 0)+=IF('📊 Datos Originales'!O5&gt;24, '🎛️ PANEL DE CONTROL'!B16, 0)</f>
        <v/>
      </c>
      <c r="L5">
        <f>MAX(0, MIN(1000, I5-J5+K5))</f>
        <v/>
      </c>
      <c r="M5">
        <f>'📊 Datos Originales'!H5</f>
        <v/>
      </c>
      <c r="N5" s="6">
        <f>IF('📊 Datos Originales'!P5="muy_nuevo", '🎛️ PANEL DE CONTROL'!B20,
                            IF('📊 Datos Originales'!P5="nuevo", '🎛️ PANEL DE CONTROL'!B21,
                            IF('📊 Datos Originales'!P5="intermedio", '🎛️ PANEL DE CONTROL'!B22,
                            IF('📊 Datos Originales'!P5="establecido", '🎛️ PANEL DE CONTROL'!B23,
                            '🎛️ PANEL DE CONTROL'!B24))))</f>
        <v/>
      </c>
      <c r="O5" s="6">
        <f>1-N5</f>
        <v/>
      </c>
      <c r="P5">
        <f>(L5*N5)+(M5*O5)</f>
        <v/>
      </c>
      <c r="Q5">
        <f>IF(P5&gt;='🎛️ PANEL DE CONTROL'!B28, "A+",
                            IF(P5&gt;='🎛️ PANEL DE CONTROL'!B29, "A",
                            IF(P5&gt;='🎛️ PANEL DE CONTROL'!B30, "A-",
                            IF(P5&gt;='🎛️ PANEL DE CONTROL'!B31, "B+",
                            IF(P5&gt;='🎛️ PANEL DE CONTROL'!B32, "B",
                            IF(P5&gt;='🎛️ PANEL DE CONTROL'!B33, "B-",
                            IF(P5&gt;='🎛️ PANEL DE CONTROL'!B34, "C+",
                            IF(P5&gt;='🎛️ PANEL DE CONTROL'!B35, "C",
                            IF(P5&gt;='🎛️ PANEL DE CONTROL'!B36, "C-",
                            IF(P5&gt;='🎛️ PANEL DE CONTROL'!B37, "D", "F"))))))))))</f>
        <v/>
      </c>
      <c r="R5">
        <f>P5-'📊 Datos Originales'!I5</f>
        <v/>
      </c>
    </row>
    <row r="6">
      <c r="A6">
        <f>'📊 Datos Originales'!A6</f>
        <v/>
      </c>
      <c r="B6">
        <f>'📊 Datos Originales'!B6</f>
        <v/>
      </c>
      <c r="C6">
        <f>'📊 Datos Originales'!C6</f>
        <v/>
      </c>
      <c r="D6">
        <f>'📊 Datos Originales'!D6</f>
        <v/>
      </c>
      <c r="E6">
        <f>'📊 Datos Originales'!E6</f>
        <v/>
      </c>
      <c r="F6">
        <f>(C6/600)*'🎛️ PANEL DE CONTROL'!B6</f>
        <v/>
      </c>
      <c r="G6">
        <f>(D6/150)*'🎛️ PANEL DE CONTROL'!B7</f>
        <v/>
      </c>
      <c r="H6">
        <f>(E6/250)*'🎛️ PANEL DE CONTROL'!B8</f>
        <v/>
      </c>
      <c r="I6">
        <f>F6+G6+H6</f>
        <v/>
      </c>
      <c r="J6">
        <f>=IF('📊 Datos Originales'!L6&gt;30, '🎛️ PANEL DE CONTROL'!B13, 0)+=IF('📊 Datos Originales'!N6&gt;80, '🎛️ PANEL DE CONTROL'!B15, 0)</f>
        <v/>
      </c>
      <c r="K6">
        <f>=IF('📊 Datos Originales'!M6&lt;10, '🎛️ PANEL DE CONTROL'!B14, 0)+=IF('📊 Datos Originales'!O6&gt;24, '🎛️ PANEL DE CONTROL'!B16, 0)</f>
        <v/>
      </c>
      <c r="L6">
        <f>MAX(0, MIN(1000, I6-J6+K6))</f>
        <v/>
      </c>
      <c r="M6">
        <f>'📊 Datos Originales'!H6</f>
        <v/>
      </c>
      <c r="N6" s="6">
        <f>IF('📊 Datos Originales'!P6="muy_nuevo", '🎛️ PANEL DE CONTROL'!B20,
                            IF('📊 Datos Originales'!P6="nuevo", '🎛️ PANEL DE CONTROL'!B21,
                            IF('📊 Datos Originales'!P6="intermedio", '🎛️ PANEL DE CONTROL'!B22,
                            IF('📊 Datos Originales'!P6="establecido", '🎛️ PANEL DE CONTROL'!B23,
                            '🎛️ PANEL DE CONTROL'!B24))))</f>
        <v/>
      </c>
      <c r="O6" s="6">
        <f>1-N6</f>
        <v/>
      </c>
      <c r="P6">
        <f>(L6*N6)+(M6*O6)</f>
        <v/>
      </c>
      <c r="Q6">
        <f>IF(P6&gt;='🎛️ PANEL DE CONTROL'!B28, "A+",
                            IF(P6&gt;='🎛️ PANEL DE CONTROL'!B29, "A",
                            IF(P6&gt;='🎛️ PANEL DE CONTROL'!B30, "A-",
                            IF(P6&gt;='🎛️ PANEL DE CONTROL'!B31, "B+",
                            IF(P6&gt;='🎛️ PANEL DE CONTROL'!B32, "B",
                            IF(P6&gt;='🎛️ PANEL DE CONTROL'!B33, "B-",
                            IF(P6&gt;='🎛️ PANEL DE CONTROL'!B34, "C+",
                            IF(P6&gt;='🎛️ PANEL DE CONTROL'!B35, "C",
                            IF(P6&gt;='🎛️ PANEL DE CONTROL'!B36, "C-",
                            IF(P6&gt;='🎛️ PANEL DE CONTROL'!B37, "D", "F"))))))))))</f>
        <v/>
      </c>
      <c r="R6">
        <f>P6-'📊 Datos Originales'!I6</f>
        <v/>
      </c>
    </row>
    <row r="7">
      <c r="A7">
        <f>'📊 Datos Originales'!A7</f>
        <v/>
      </c>
      <c r="B7">
        <f>'📊 Datos Originales'!B7</f>
        <v/>
      </c>
      <c r="C7">
        <f>'📊 Datos Originales'!C7</f>
        <v/>
      </c>
      <c r="D7">
        <f>'📊 Datos Originales'!D7</f>
        <v/>
      </c>
      <c r="E7">
        <f>'📊 Datos Originales'!E7</f>
        <v/>
      </c>
      <c r="F7">
        <f>(C7/600)*'🎛️ PANEL DE CONTROL'!B6</f>
        <v/>
      </c>
      <c r="G7">
        <f>(D7/150)*'🎛️ PANEL DE CONTROL'!B7</f>
        <v/>
      </c>
      <c r="H7">
        <f>(E7/250)*'🎛️ PANEL DE CONTROL'!B8</f>
        <v/>
      </c>
      <c r="I7">
        <f>F7+G7+H7</f>
        <v/>
      </c>
      <c r="J7">
        <f>=IF('📊 Datos Originales'!L7&gt;30, '🎛️ PANEL DE CONTROL'!B13, 0)+=IF('📊 Datos Originales'!N7&gt;80, '🎛️ PANEL DE CONTROL'!B15, 0)</f>
        <v/>
      </c>
      <c r="K7">
        <f>=IF('📊 Datos Originales'!M7&lt;10, '🎛️ PANEL DE CONTROL'!B14, 0)+=IF('📊 Datos Originales'!O7&gt;24, '🎛️ PANEL DE CONTROL'!B16, 0)</f>
        <v/>
      </c>
      <c r="L7">
        <f>MAX(0, MIN(1000, I7-J7+K7))</f>
        <v/>
      </c>
      <c r="M7">
        <f>'📊 Datos Originales'!H7</f>
        <v/>
      </c>
      <c r="N7" s="6">
        <f>IF('📊 Datos Originales'!P7="muy_nuevo", '🎛️ PANEL DE CONTROL'!B20,
                            IF('📊 Datos Originales'!P7="nuevo", '🎛️ PANEL DE CONTROL'!B21,
                            IF('📊 Datos Originales'!P7="intermedio", '🎛️ PANEL DE CONTROL'!B22,
                            IF('📊 Datos Originales'!P7="establecido", '🎛️ PANEL DE CONTROL'!B23,
                            '🎛️ PANEL DE CONTROL'!B24))))</f>
        <v/>
      </c>
      <c r="O7" s="6">
        <f>1-N7</f>
        <v/>
      </c>
      <c r="P7">
        <f>(L7*N7)+(M7*O7)</f>
        <v/>
      </c>
      <c r="Q7">
        <f>IF(P7&gt;='🎛️ PANEL DE CONTROL'!B28, "A+",
                            IF(P7&gt;='🎛️ PANEL DE CONTROL'!B29, "A",
                            IF(P7&gt;='🎛️ PANEL DE CONTROL'!B30, "A-",
                            IF(P7&gt;='🎛️ PANEL DE CONTROL'!B31, "B+",
                            IF(P7&gt;='🎛️ PANEL DE CONTROL'!B32, "B",
                            IF(P7&gt;='🎛️ PANEL DE CONTROL'!B33, "B-",
                            IF(P7&gt;='🎛️ PANEL DE CONTROL'!B34, "C+",
                            IF(P7&gt;='🎛️ PANEL DE CONTROL'!B35, "C",
                            IF(P7&gt;='🎛️ PANEL DE CONTROL'!B36, "C-",
                            IF(P7&gt;='🎛️ PANEL DE CONTROL'!B37, "D", "F"))))))))))</f>
        <v/>
      </c>
      <c r="R7">
        <f>P7-'📊 Datos Originales'!I7</f>
        <v/>
      </c>
    </row>
    <row r="8">
      <c r="A8">
        <f>'📊 Datos Originales'!A8</f>
        <v/>
      </c>
      <c r="B8">
        <f>'📊 Datos Originales'!B8</f>
        <v/>
      </c>
      <c r="C8">
        <f>'📊 Datos Originales'!C8</f>
        <v/>
      </c>
      <c r="D8">
        <f>'📊 Datos Originales'!D8</f>
        <v/>
      </c>
      <c r="E8">
        <f>'📊 Datos Originales'!E8</f>
        <v/>
      </c>
      <c r="F8">
        <f>(C8/600)*'🎛️ PANEL DE CONTROL'!B6</f>
        <v/>
      </c>
      <c r="G8">
        <f>(D8/150)*'🎛️ PANEL DE CONTROL'!B7</f>
        <v/>
      </c>
      <c r="H8">
        <f>(E8/250)*'🎛️ PANEL DE CONTROL'!B8</f>
        <v/>
      </c>
      <c r="I8">
        <f>F8+G8+H8</f>
        <v/>
      </c>
      <c r="J8">
        <f>=IF('📊 Datos Originales'!L8&gt;30, '🎛️ PANEL DE CONTROL'!B13, 0)+=IF('📊 Datos Originales'!N8&gt;80, '🎛️ PANEL DE CONTROL'!B15, 0)</f>
        <v/>
      </c>
      <c r="K8">
        <f>=IF('📊 Datos Originales'!M8&lt;10, '🎛️ PANEL DE CONTROL'!B14, 0)+=IF('📊 Datos Originales'!O8&gt;24, '🎛️ PANEL DE CONTROL'!B16, 0)</f>
        <v/>
      </c>
      <c r="L8">
        <f>MAX(0, MIN(1000, I8-J8+K8))</f>
        <v/>
      </c>
      <c r="M8">
        <f>'📊 Datos Originales'!H8</f>
        <v/>
      </c>
      <c r="N8" s="6">
        <f>IF('📊 Datos Originales'!P8="muy_nuevo", '🎛️ PANEL DE CONTROL'!B20,
                            IF('📊 Datos Originales'!P8="nuevo", '🎛️ PANEL DE CONTROL'!B21,
                            IF('📊 Datos Originales'!P8="intermedio", '🎛️ PANEL DE CONTROL'!B22,
                            IF('📊 Datos Originales'!P8="establecido", '🎛️ PANEL DE CONTROL'!B23,
                            '🎛️ PANEL DE CONTROL'!B24))))</f>
        <v/>
      </c>
      <c r="O8" s="6">
        <f>1-N8</f>
        <v/>
      </c>
      <c r="P8">
        <f>(L8*N8)+(M8*O8)</f>
        <v/>
      </c>
      <c r="Q8">
        <f>IF(P8&gt;='🎛️ PANEL DE CONTROL'!B28, "A+",
                            IF(P8&gt;='🎛️ PANEL DE CONTROL'!B29, "A",
                            IF(P8&gt;='🎛️ PANEL DE CONTROL'!B30, "A-",
                            IF(P8&gt;='🎛️ PANEL DE CONTROL'!B31, "B+",
                            IF(P8&gt;='🎛️ PANEL DE CONTROL'!B32, "B",
                            IF(P8&gt;='🎛️ PANEL DE CONTROL'!B33, "B-",
                            IF(P8&gt;='🎛️ PANEL DE CONTROL'!B34, "C+",
                            IF(P8&gt;='🎛️ PANEL DE CONTROL'!B35, "C",
                            IF(P8&gt;='🎛️ PANEL DE CONTROL'!B36, "C-",
                            IF(P8&gt;='🎛️ PANEL DE CONTROL'!B37, "D", "F"))))))))))</f>
        <v/>
      </c>
      <c r="R8">
        <f>P8-'📊 Datos Originales'!I8</f>
        <v/>
      </c>
    </row>
    <row r="9">
      <c r="A9">
        <f>'📊 Datos Originales'!A9</f>
        <v/>
      </c>
      <c r="B9">
        <f>'📊 Datos Originales'!B9</f>
        <v/>
      </c>
      <c r="C9">
        <f>'📊 Datos Originales'!C9</f>
        <v/>
      </c>
      <c r="D9">
        <f>'📊 Datos Originales'!D9</f>
        <v/>
      </c>
      <c r="E9">
        <f>'📊 Datos Originales'!E9</f>
        <v/>
      </c>
      <c r="F9">
        <f>(C9/600)*'🎛️ PANEL DE CONTROL'!B6</f>
        <v/>
      </c>
      <c r="G9">
        <f>(D9/150)*'🎛️ PANEL DE CONTROL'!B7</f>
        <v/>
      </c>
      <c r="H9">
        <f>(E9/250)*'🎛️ PANEL DE CONTROL'!B8</f>
        <v/>
      </c>
      <c r="I9">
        <f>F9+G9+H9</f>
        <v/>
      </c>
      <c r="J9">
        <f>=IF('📊 Datos Originales'!L9&gt;30, '🎛️ PANEL DE CONTROL'!B13, 0)+=IF('📊 Datos Originales'!N9&gt;80, '🎛️ PANEL DE CONTROL'!B15, 0)</f>
        <v/>
      </c>
      <c r="K9">
        <f>=IF('📊 Datos Originales'!M9&lt;10, '🎛️ PANEL DE CONTROL'!B14, 0)+=IF('📊 Datos Originales'!O9&gt;24, '🎛️ PANEL DE CONTROL'!B16, 0)</f>
        <v/>
      </c>
      <c r="L9">
        <f>MAX(0, MIN(1000, I9-J9+K9))</f>
        <v/>
      </c>
      <c r="M9">
        <f>'📊 Datos Originales'!H9</f>
        <v/>
      </c>
      <c r="N9" s="6">
        <f>IF('📊 Datos Originales'!P9="muy_nuevo", '🎛️ PANEL DE CONTROL'!B20,
                            IF('📊 Datos Originales'!P9="nuevo", '🎛️ PANEL DE CONTROL'!B21,
                            IF('📊 Datos Originales'!P9="intermedio", '🎛️ PANEL DE CONTROL'!B22,
                            IF('📊 Datos Originales'!P9="establecido", '🎛️ PANEL DE CONTROL'!B23,
                            '🎛️ PANEL DE CONTROL'!B24))))</f>
        <v/>
      </c>
      <c r="O9" s="6">
        <f>1-N9</f>
        <v/>
      </c>
      <c r="P9">
        <f>(L9*N9)+(M9*O9)</f>
        <v/>
      </c>
      <c r="Q9">
        <f>IF(P9&gt;='🎛️ PANEL DE CONTROL'!B28, "A+",
                            IF(P9&gt;='🎛️ PANEL DE CONTROL'!B29, "A",
                            IF(P9&gt;='🎛️ PANEL DE CONTROL'!B30, "A-",
                            IF(P9&gt;='🎛️ PANEL DE CONTROL'!B31, "B+",
                            IF(P9&gt;='🎛️ PANEL DE CONTROL'!B32, "B",
                            IF(P9&gt;='🎛️ PANEL DE CONTROL'!B33, "B-",
                            IF(P9&gt;='🎛️ PANEL DE CONTROL'!B34, "C+",
                            IF(P9&gt;='🎛️ PANEL DE CONTROL'!B35, "C",
                            IF(P9&gt;='🎛️ PANEL DE CONTROL'!B36, "C-",
                            IF(P9&gt;='🎛️ PANEL DE CONTROL'!B37, "D", "F"))))))))))</f>
        <v/>
      </c>
      <c r="R9">
        <f>P9-'📊 Datos Originales'!I9</f>
        <v/>
      </c>
    </row>
    <row r="10">
      <c r="A10">
        <f>'📊 Datos Originales'!A10</f>
        <v/>
      </c>
      <c r="B10">
        <f>'📊 Datos Originales'!B10</f>
        <v/>
      </c>
      <c r="C10">
        <f>'📊 Datos Originales'!C10</f>
        <v/>
      </c>
      <c r="D10">
        <f>'📊 Datos Originales'!D10</f>
        <v/>
      </c>
      <c r="E10">
        <f>'📊 Datos Originales'!E10</f>
        <v/>
      </c>
      <c r="F10">
        <f>(C10/600)*'🎛️ PANEL DE CONTROL'!B6</f>
        <v/>
      </c>
      <c r="G10">
        <f>(D10/150)*'🎛️ PANEL DE CONTROL'!B7</f>
        <v/>
      </c>
      <c r="H10">
        <f>(E10/250)*'🎛️ PANEL DE CONTROL'!B8</f>
        <v/>
      </c>
      <c r="I10">
        <f>F10+G10+H10</f>
        <v/>
      </c>
      <c r="J10">
        <f>=IF('📊 Datos Originales'!L10&gt;30, '🎛️ PANEL DE CONTROL'!B13, 0)+=IF('📊 Datos Originales'!N10&gt;80, '🎛️ PANEL DE CONTROL'!B15, 0)</f>
        <v/>
      </c>
      <c r="K10">
        <f>=IF('📊 Datos Originales'!M10&lt;10, '🎛️ PANEL DE CONTROL'!B14, 0)+=IF('📊 Datos Originales'!O10&gt;24, '🎛️ PANEL DE CONTROL'!B16, 0)</f>
        <v/>
      </c>
      <c r="L10">
        <f>MAX(0, MIN(1000, I10-J10+K10))</f>
        <v/>
      </c>
      <c r="M10">
        <f>'📊 Datos Originales'!H10</f>
        <v/>
      </c>
      <c r="N10" s="6">
        <f>IF('📊 Datos Originales'!P10="muy_nuevo", '🎛️ PANEL DE CONTROL'!B20,
                            IF('📊 Datos Originales'!P10="nuevo", '🎛️ PANEL DE CONTROL'!B21,
                            IF('📊 Datos Originales'!P10="intermedio", '🎛️ PANEL DE CONTROL'!B22,
                            IF('📊 Datos Originales'!P10="establecido", '🎛️ PANEL DE CONTROL'!B23,
                            '🎛️ PANEL DE CONTROL'!B24))))</f>
        <v/>
      </c>
      <c r="O10" s="6">
        <f>1-N10</f>
        <v/>
      </c>
      <c r="P10">
        <f>(L10*N10)+(M10*O10)</f>
        <v/>
      </c>
      <c r="Q10">
        <f>IF(P10&gt;='🎛️ PANEL DE CONTROL'!B28, "A+",
                            IF(P10&gt;='🎛️ PANEL DE CONTROL'!B29, "A",
                            IF(P10&gt;='🎛️ PANEL DE CONTROL'!B30, "A-",
                            IF(P10&gt;='🎛️ PANEL DE CONTROL'!B31, "B+",
                            IF(P10&gt;='🎛️ PANEL DE CONTROL'!B32, "B",
                            IF(P10&gt;='🎛️ PANEL DE CONTROL'!B33, "B-",
                            IF(P10&gt;='🎛️ PANEL DE CONTROL'!B34, "C+",
                            IF(P10&gt;='🎛️ PANEL DE CONTROL'!B35, "C",
                            IF(P10&gt;='🎛️ PANEL DE CONTROL'!B36, "C-",
                            IF(P10&gt;='🎛️ PANEL DE CONTROL'!B37, "D", "F"))))))))))</f>
        <v/>
      </c>
      <c r="R10">
        <f>P10-'📊 Datos Originales'!I10</f>
        <v/>
      </c>
    </row>
    <row r="11">
      <c r="A11">
        <f>'📊 Datos Originales'!A11</f>
        <v/>
      </c>
      <c r="B11">
        <f>'📊 Datos Originales'!B11</f>
        <v/>
      </c>
      <c r="C11">
        <f>'📊 Datos Originales'!C11</f>
        <v/>
      </c>
      <c r="D11">
        <f>'📊 Datos Originales'!D11</f>
        <v/>
      </c>
      <c r="E11">
        <f>'📊 Datos Originales'!E11</f>
        <v/>
      </c>
      <c r="F11">
        <f>(C11/600)*'🎛️ PANEL DE CONTROL'!B6</f>
        <v/>
      </c>
      <c r="G11">
        <f>(D11/150)*'🎛️ PANEL DE CONTROL'!B7</f>
        <v/>
      </c>
      <c r="H11">
        <f>(E11/250)*'🎛️ PANEL DE CONTROL'!B8</f>
        <v/>
      </c>
      <c r="I11">
        <f>F11+G11+H11</f>
        <v/>
      </c>
      <c r="J11">
        <f>=IF('📊 Datos Originales'!L11&gt;30, '🎛️ PANEL DE CONTROL'!B13, 0)+=IF('📊 Datos Originales'!N11&gt;80, '🎛️ PANEL DE CONTROL'!B15, 0)</f>
        <v/>
      </c>
      <c r="K11">
        <f>=IF('📊 Datos Originales'!M11&lt;10, '🎛️ PANEL DE CONTROL'!B14, 0)+=IF('📊 Datos Originales'!O11&gt;24, '🎛️ PANEL DE CONTROL'!B16, 0)</f>
        <v/>
      </c>
      <c r="L11">
        <f>MAX(0, MIN(1000, I11-J11+K11))</f>
        <v/>
      </c>
      <c r="M11">
        <f>'📊 Datos Originales'!H11</f>
        <v/>
      </c>
      <c r="N11" s="6">
        <f>IF('📊 Datos Originales'!P11="muy_nuevo", '🎛️ PANEL DE CONTROL'!B20,
                            IF('📊 Datos Originales'!P11="nuevo", '🎛️ PANEL DE CONTROL'!B21,
                            IF('📊 Datos Originales'!P11="intermedio", '🎛️ PANEL DE CONTROL'!B22,
                            IF('📊 Datos Originales'!P11="establecido", '🎛️ PANEL DE CONTROL'!B23,
                            '🎛️ PANEL DE CONTROL'!B24))))</f>
        <v/>
      </c>
      <c r="O11" s="6">
        <f>1-N11</f>
        <v/>
      </c>
      <c r="P11">
        <f>(L11*N11)+(M11*O11)</f>
        <v/>
      </c>
      <c r="Q11">
        <f>IF(P11&gt;='🎛️ PANEL DE CONTROL'!B28, "A+",
                            IF(P11&gt;='🎛️ PANEL DE CONTROL'!B29, "A",
                            IF(P11&gt;='🎛️ PANEL DE CONTROL'!B30, "A-",
                            IF(P11&gt;='🎛️ PANEL DE CONTROL'!B31, "B+",
                            IF(P11&gt;='🎛️ PANEL DE CONTROL'!B32, "B",
                            IF(P11&gt;='🎛️ PANEL DE CONTROL'!B33, "B-",
                            IF(P11&gt;='🎛️ PANEL DE CONTROL'!B34, "C+",
                            IF(P11&gt;='🎛️ PANEL DE CONTROL'!B35, "C",
                            IF(P11&gt;='🎛️ PANEL DE CONTROL'!B36, "C-",
                            IF(P11&gt;='🎛️ PANEL DE CONTROL'!B37, "D", "F"))))))))))</f>
        <v/>
      </c>
      <c r="R11">
        <f>P11-'📊 Datos Originales'!I11</f>
        <v/>
      </c>
    </row>
    <row r="12">
      <c r="A12">
        <f>'📊 Datos Originales'!A12</f>
        <v/>
      </c>
      <c r="B12">
        <f>'📊 Datos Originales'!B12</f>
        <v/>
      </c>
      <c r="C12">
        <f>'📊 Datos Originales'!C12</f>
        <v/>
      </c>
      <c r="D12">
        <f>'📊 Datos Originales'!D12</f>
        <v/>
      </c>
      <c r="E12">
        <f>'📊 Datos Originales'!E12</f>
        <v/>
      </c>
      <c r="F12">
        <f>(C12/600)*'🎛️ PANEL DE CONTROL'!B6</f>
        <v/>
      </c>
      <c r="G12">
        <f>(D12/150)*'🎛️ PANEL DE CONTROL'!B7</f>
        <v/>
      </c>
      <c r="H12">
        <f>(E12/250)*'🎛️ PANEL DE CONTROL'!B8</f>
        <v/>
      </c>
      <c r="I12">
        <f>F12+G12+H12</f>
        <v/>
      </c>
      <c r="J12">
        <f>=IF('📊 Datos Originales'!L12&gt;30, '🎛️ PANEL DE CONTROL'!B13, 0)+=IF('📊 Datos Originales'!N12&gt;80, '🎛️ PANEL DE CONTROL'!B15, 0)</f>
        <v/>
      </c>
      <c r="K12">
        <f>=IF('📊 Datos Originales'!M12&lt;10, '🎛️ PANEL DE CONTROL'!B14, 0)+=IF('📊 Datos Originales'!O12&gt;24, '🎛️ PANEL DE CONTROL'!B16, 0)</f>
        <v/>
      </c>
      <c r="L12">
        <f>MAX(0, MIN(1000, I12-J12+K12))</f>
        <v/>
      </c>
      <c r="M12">
        <f>'📊 Datos Originales'!H12</f>
        <v/>
      </c>
      <c r="N12" s="6">
        <f>IF('📊 Datos Originales'!P12="muy_nuevo", '🎛️ PANEL DE CONTROL'!B20,
                            IF('📊 Datos Originales'!P12="nuevo", '🎛️ PANEL DE CONTROL'!B21,
                            IF('📊 Datos Originales'!P12="intermedio", '🎛️ PANEL DE CONTROL'!B22,
                            IF('📊 Datos Originales'!P12="establecido", '🎛️ PANEL DE CONTROL'!B23,
                            '🎛️ PANEL DE CONTROL'!B24))))</f>
        <v/>
      </c>
      <c r="O12" s="6">
        <f>1-N12</f>
        <v/>
      </c>
      <c r="P12">
        <f>(L12*N12)+(M12*O12)</f>
        <v/>
      </c>
      <c r="Q12">
        <f>IF(P12&gt;='🎛️ PANEL DE CONTROL'!B28, "A+",
                            IF(P12&gt;='🎛️ PANEL DE CONTROL'!B29, "A",
                            IF(P12&gt;='🎛️ PANEL DE CONTROL'!B30, "A-",
                            IF(P12&gt;='🎛️ PANEL DE CONTROL'!B31, "B+",
                            IF(P12&gt;='🎛️ PANEL DE CONTROL'!B32, "B",
                            IF(P12&gt;='🎛️ PANEL DE CONTROL'!B33, "B-",
                            IF(P12&gt;='🎛️ PANEL DE CONTROL'!B34, "C+",
                            IF(P12&gt;='🎛️ PANEL DE CONTROL'!B35, "C",
                            IF(P12&gt;='🎛️ PANEL DE CONTROL'!B36, "C-",
                            IF(P12&gt;='🎛️ PANEL DE CONTROL'!B37, "D", "F"))))))))))</f>
        <v/>
      </c>
      <c r="R12">
        <f>P12-'📊 Datos Originales'!I12</f>
        <v/>
      </c>
    </row>
    <row r="13">
      <c r="A13">
        <f>'📊 Datos Originales'!A13</f>
        <v/>
      </c>
      <c r="B13">
        <f>'📊 Datos Originales'!B13</f>
        <v/>
      </c>
      <c r="C13">
        <f>'📊 Datos Originales'!C13</f>
        <v/>
      </c>
      <c r="D13">
        <f>'📊 Datos Originales'!D13</f>
        <v/>
      </c>
      <c r="E13">
        <f>'📊 Datos Originales'!E13</f>
        <v/>
      </c>
      <c r="F13">
        <f>(C13/600)*'🎛️ PANEL DE CONTROL'!B6</f>
        <v/>
      </c>
      <c r="G13">
        <f>(D13/150)*'🎛️ PANEL DE CONTROL'!B7</f>
        <v/>
      </c>
      <c r="H13">
        <f>(E13/250)*'🎛️ PANEL DE CONTROL'!B8</f>
        <v/>
      </c>
      <c r="I13">
        <f>F13+G13+H13</f>
        <v/>
      </c>
      <c r="J13">
        <f>=IF('📊 Datos Originales'!L13&gt;30, '🎛️ PANEL DE CONTROL'!B13, 0)+=IF('📊 Datos Originales'!N13&gt;80, '🎛️ PANEL DE CONTROL'!B15, 0)</f>
        <v/>
      </c>
      <c r="K13">
        <f>=IF('📊 Datos Originales'!M13&lt;10, '🎛️ PANEL DE CONTROL'!B14, 0)+=IF('📊 Datos Originales'!O13&gt;24, '🎛️ PANEL DE CONTROL'!B16, 0)</f>
        <v/>
      </c>
      <c r="L13">
        <f>MAX(0, MIN(1000, I13-J13+K13))</f>
        <v/>
      </c>
      <c r="M13">
        <f>'📊 Datos Originales'!H13</f>
        <v/>
      </c>
      <c r="N13" s="6">
        <f>IF('📊 Datos Originales'!P13="muy_nuevo", '🎛️ PANEL DE CONTROL'!B20,
                            IF('📊 Datos Originales'!P13="nuevo", '🎛️ PANEL DE CONTROL'!B21,
                            IF('📊 Datos Originales'!P13="intermedio", '🎛️ PANEL DE CONTROL'!B22,
                            IF('📊 Datos Originales'!P13="establecido", '🎛️ PANEL DE CONTROL'!B23,
                            '🎛️ PANEL DE CONTROL'!B24))))</f>
        <v/>
      </c>
      <c r="O13" s="6">
        <f>1-N13</f>
        <v/>
      </c>
      <c r="P13">
        <f>(L13*N13)+(M13*O13)</f>
        <v/>
      </c>
      <c r="Q13">
        <f>IF(P13&gt;='🎛️ PANEL DE CONTROL'!B28, "A+",
                            IF(P13&gt;='🎛️ PANEL DE CONTROL'!B29, "A",
                            IF(P13&gt;='🎛️ PANEL DE CONTROL'!B30, "A-",
                            IF(P13&gt;='🎛️ PANEL DE CONTROL'!B31, "B+",
                            IF(P13&gt;='🎛️ PANEL DE CONTROL'!B32, "B",
                            IF(P13&gt;='🎛️ PANEL DE CONTROL'!B33, "B-",
                            IF(P13&gt;='🎛️ PANEL DE CONTROL'!B34, "C+",
                            IF(P13&gt;='🎛️ PANEL DE CONTROL'!B35, "C",
                            IF(P13&gt;='🎛️ PANEL DE CONTROL'!B36, "C-",
                            IF(P13&gt;='🎛️ PANEL DE CONTROL'!B37, "D", "F"))))))))))</f>
        <v/>
      </c>
      <c r="R13">
        <f>P13-'📊 Datos Originales'!I13</f>
        <v/>
      </c>
    </row>
    <row r="14">
      <c r="A14">
        <f>'📊 Datos Originales'!A14</f>
        <v/>
      </c>
      <c r="B14">
        <f>'📊 Datos Originales'!B14</f>
        <v/>
      </c>
      <c r="C14">
        <f>'📊 Datos Originales'!C14</f>
        <v/>
      </c>
      <c r="D14">
        <f>'📊 Datos Originales'!D14</f>
        <v/>
      </c>
      <c r="E14">
        <f>'📊 Datos Originales'!E14</f>
        <v/>
      </c>
      <c r="F14">
        <f>(C14/600)*'🎛️ PANEL DE CONTROL'!B6</f>
        <v/>
      </c>
      <c r="G14">
        <f>(D14/150)*'🎛️ PANEL DE CONTROL'!B7</f>
        <v/>
      </c>
      <c r="H14">
        <f>(E14/250)*'🎛️ PANEL DE CONTROL'!B8</f>
        <v/>
      </c>
      <c r="I14">
        <f>F14+G14+H14</f>
        <v/>
      </c>
      <c r="J14">
        <f>=IF('📊 Datos Originales'!L14&gt;30, '🎛️ PANEL DE CONTROL'!B13, 0)+=IF('📊 Datos Originales'!N14&gt;80, '🎛️ PANEL DE CONTROL'!B15, 0)</f>
        <v/>
      </c>
      <c r="K14">
        <f>=IF('📊 Datos Originales'!M14&lt;10, '🎛️ PANEL DE CONTROL'!B14, 0)+=IF('📊 Datos Originales'!O14&gt;24, '🎛️ PANEL DE CONTROL'!B16, 0)</f>
        <v/>
      </c>
      <c r="L14">
        <f>MAX(0, MIN(1000, I14-J14+K14))</f>
        <v/>
      </c>
      <c r="M14">
        <f>'📊 Datos Originales'!H14</f>
        <v/>
      </c>
      <c r="N14" s="6">
        <f>IF('📊 Datos Originales'!P14="muy_nuevo", '🎛️ PANEL DE CONTROL'!B20,
                            IF('📊 Datos Originales'!P14="nuevo", '🎛️ PANEL DE CONTROL'!B21,
                            IF('📊 Datos Originales'!P14="intermedio", '🎛️ PANEL DE CONTROL'!B22,
                            IF('📊 Datos Originales'!P14="establecido", '🎛️ PANEL DE CONTROL'!B23,
                            '🎛️ PANEL DE CONTROL'!B24))))</f>
        <v/>
      </c>
      <c r="O14" s="6">
        <f>1-N14</f>
        <v/>
      </c>
      <c r="P14">
        <f>(L14*N14)+(M14*O14)</f>
        <v/>
      </c>
      <c r="Q14">
        <f>IF(P14&gt;='🎛️ PANEL DE CONTROL'!B28, "A+",
                            IF(P14&gt;='🎛️ PANEL DE CONTROL'!B29, "A",
                            IF(P14&gt;='🎛️ PANEL DE CONTROL'!B30, "A-",
                            IF(P14&gt;='🎛️ PANEL DE CONTROL'!B31, "B+",
                            IF(P14&gt;='🎛️ PANEL DE CONTROL'!B32, "B",
                            IF(P14&gt;='🎛️ PANEL DE CONTROL'!B33, "B-",
                            IF(P14&gt;='🎛️ PANEL DE CONTROL'!B34, "C+",
                            IF(P14&gt;='🎛️ PANEL DE CONTROL'!B35, "C",
                            IF(P14&gt;='🎛️ PANEL DE CONTROL'!B36, "C-",
                            IF(P14&gt;='🎛️ PANEL DE CONTROL'!B37, "D", "F"))))))))))</f>
        <v/>
      </c>
      <c r="R14">
        <f>P14-'📊 Datos Originales'!I14</f>
        <v/>
      </c>
    </row>
    <row r="15">
      <c r="A15">
        <f>'📊 Datos Originales'!A15</f>
        <v/>
      </c>
      <c r="B15">
        <f>'📊 Datos Originales'!B15</f>
        <v/>
      </c>
      <c r="C15">
        <f>'📊 Datos Originales'!C15</f>
        <v/>
      </c>
      <c r="D15">
        <f>'📊 Datos Originales'!D15</f>
        <v/>
      </c>
      <c r="E15">
        <f>'📊 Datos Originales'!E15</f>
        <v/>
      </c>
      <c r="F15">
        <f>(C15/600)*'🎛️ PANEL DE CONTROL'!B6</f>
        <v/>
      </c>
      <c r="G15">
        <f>(D15/150)*'🎛️ PANEL DE CONTROL'!B7</f>
        <v/>
      </c>
      <c r="H15">
        <f>(E15/250)*'🎛️ PANEL DE CONTROL'!B8</f>
        <v/>
      </c>
      <c r="I15">
        <f>F15+G15+H15</f>
        <v/>
      </c>
      <c r="J15">
        <f>=IF('📊 Datos Originales'!L15&gt;30, '🎛️ PANEL DE CONTROL'!B13, 0)+=IF('📊 Datos Originales'!N15&gt;80, '🎛️ PANEL DE CONTROL'!B15, 0)</f>
        <v/>
      </c>
      <c r="K15">
        <f>=IF('📊 Datos Originales'!M15&lt;10, '🎛️ PANEL DE CONTROL'!B14, 0)+=IF('📊 Datos Originales'!O15&gt;24, '🎛️ PANEL DE CONTROL'!B16, 0)</f>
        <v/>
      </c>
      <c r="L15">
        <f>MAX(0, MIN(1000, I15-J15+K15))</f>
        <v/>
      </c>
      <c r="M15">
        <f>'📊 Datos Originales'!H15</f>
        <v/>
      </c>
      <c r="N15" s="6">
        <f>IF('📊 Datos Originales'!P15="muy_nuevo", '🎛️ PANEL DE CONTROL'!B20,
                            IF('📊 Datos Originales'!P15="nuevo", '🎛️ PANEL DE CONTROL'!B21,
                            IF('📊 Datos Originales'!P15="intermedio", '🎛️ PANEL DE CONTROL'!B22,
                            IF('📊 Datos Originales'!P15="establecido", '🎛️ PANEL DE CONTROL'!B23,
                            '🎛️ PANEL DE CONTROL'!B24))))</f>
        <v/>
      </c>
      <c r="O15" s="6">
        <f>1-N15</f>
        <v/>
      </c>
      <c r="P15">
        <f>(L15*N15)+(M15*O15)</f>
        <v/>
      </c>
      <c r="Q15">
        <f>IF(P15&gt;='🎛️ PANEL DE CONTROL'!B28, "A+",
                            IF(P15&gt;='🎛️ PANEL DE CONTROL'!B29, "A",
                            IF(P15&gt;='🎛️ PANEL DE CONTROL'!B30, "A-",
                            IF(P15&gt;='🎛️ PANEL DE CONTROL'!B31, "B+",
                            IF(P15&gt;='🎛️ PANEL DE CONTROL'!B32, "B",
                            IF(P15&gt;='🎛️ PANEL DE CONTROL'!B33, "B-",
                            IF(P15&gt;='🎛️ PANEL DE CONTROL'!B34, "C+",
                            IF(P15&gt;='🎛️ PANEL DE CONTROL'!B35, "C",
                            IF(P15&gt;='🎛️ PANEL DE CONTROL'!B36, "C-",
                            IF(P15&gt;='🎛️ PANEL DE CONTROL'!B37, "D", "F"))))))))))</f>
        <v/>
      </c>
      <c r="R15">
        <f>P15-'📊 Datos Originales'!I15</f>
        <v/>
      </c>
    </row>
    <row r="16">
      <c r="A16">
        <f>'📊 Datos Originales'!A16</f>
        <v/>
      </c>
      <c r="B16">
        <f>'📊 Datos Originales'!B16</f>
        <v/>
      </c>
      <c r="C16">
        <f>'📊 Datos Originales'!C16</f>
        <v/>
      </c>
      <c r="D16">
        <f>'📊 Datos Originales'!D16</f>
        <v/>
      </c>
      <c r="E16">
        <f>'📊 Datos Originales'!E16</f>
        <v/>
      </c>
      <c r="F16">
        <f>(C16/600)*'🎛️ PANEL DE CONTROL'!B6</f>
        <v/>
      </c>
      <c r="G16">
        <f>(D16/150)*'🎛️ PANEL DE CONTROL'!B7</f>
        <v/>
      </c>
      <c r="H16">
        <f>(E16/250)*'🎛️ PANEL DE CONTROL'!B8</f>
        <v/>
      </c>
      <c r="I16">
        <f>F16+G16+H16</f>
        <v/>
      </c>
      <c r="J16">
        <f>=IF('📊 Datos Originales'!L16&gt;30, '🎛️ PANEL DE CONTROL'!B13, 0)+=IF('📊 Datos Originales'!N16&gt;80, '🎛️ PANEL DE CONTROL'!B15, 0)</f>
        <v/>
      </c>
      <c r="K16">
        <f>=IF('📊 Datos Originales'!M16&lt;10, '🎛️ PANEL DE CONTROL'!B14, 0)+=IF('📊 Datos Originales'!O16&gt;24, '🎛️ PANEL DE CONTROL'!B16, 0)</f>
        <v/>
      </c>
      <c r="L16">
        <f>MAX(0, MIN(1000, I16-J16+K16))</f>
        <v/>
      </c>
      <c r="M16">
        <f>'📊 Datos Originales'!H16</f>
        <v/>
      </c>
      <c r="N16" s="6">
        <f>IF('📊 Datos Originales'!P16="muy_nuevo", '🎛️ PANEL DE CONTROL'!B20,
                            IF('📊 Datos Originales'!P16="nuevo", '🎛️ PANEL DE CONTROL'!B21,
                            IF('📊 Datos Originales'!P16="intermedio", '🎛️ PANEL DE CONTROL'!B22,
                            IF('📊 Datos Originales'!P16="establecido", '🎛️ PANEL DE CONTROL'!B23,
                            '🎛️ PANEL DE CONTROL'!B24))))</f>
        <v/>
      </c>
      <c r="O16" s="6">
        <f>1-N16</f>
        <v/>
      </c>
      <c r="P16">
        <f>(L16*N16)+(M16*O16)</f>
        <v/>
      </c>
      <c r="Q16">
        <f>IF(P16&gt;='🎛️ PANEL DE CONTROL'!B28, "A+",
                            IF(P16&gt;='🎛️ PANEL DE CONTROL'!B29, "A",
                            IF(P16&gt;='🎛️ PANEL DE CONTROL'!B30, "A-",
                            IF(P16&gt;='🎛️ PANEL DE CONTROL'!B31, "B+",
                            IF(P16&gt;='🎛️ PANEL DE CONTROL'!B32, "B",
                            IF(P16&gt;='🎛️ PANEL DE CONTROL'!B33, "B-",
                            IF(P16&gt;='🎛️ PANEL DE CONTROL'!B34, "C+",
                            IF(P16&gt;='🎛️ PANEL DE CONTROL'!B35, "C",
                            IF(P16&gt;='🎛️ PANEL DE CONTROL'!B36, "C-",
                            IF(P16&gt;='🎛️ PANEL DE CONTROL'!B37, "D", "F"))))))))))</f>
        <v/>
      </c>
      <c r="R16">
        <f>P16-'📊 Datos Originales'!I16</f>
        <v/>
      </c>
    </row>
    <row r="17">
      <c r="A17">
        <f>'📊 Datos Originales'!A17</f>
        <v/>
      </c>
      <c r="B17">
        <f>'📊 Datos Originales'!B17</f>
        <v/>
      </c>
      <c r="C17">
        <f>'📊 Datos Originales'!C17</f>
        <v/>
      </c>
      <c r="D17">
        <f>'📊 Datos Originales'!D17</f>
        <v/>
      </c>
      <c r="E17">
        <f>'📊 Datos Originales'!E17</f>
        <v/>
      </c>
      <c r="F17">
        <f>(C17/600)*'🎛️ PANEL DE CONTROL'!B6</f>
        <v/>
      </c>
      <c r="G17">
        <f>(D17/150)*'🎛️ PANEL DE CONTROL'!B7</f>
        <v/>
      </c>
      <c r="H17">
        <f>(E17/250)*'🎛️ PANEL DE CONTROL'!B8</f>
        <v/>
      </c>
      <c r="I17">
        <f>F17+G17+H17</f>
        <v/>
      </c>
      <c r="J17">
        <f>=IF('📊 Datos Originales'!L17&gt;30, '🎛️ PANEL DE CONTROL'!B13, 0)+=IF('📊 Datos Originales'!N17&gt;80, '🎛️ PANEL DE CONTROL'!B15, 0)</f>
        <v/>
      </c>
      <c r="K17">
        <f>=IF('📊 Datos Originales'!M17&lt;10, '🎛️ PANEL DE CONTROL'!B14, 0)+=IF('📊 Datos Originales'!O17&gt;24, '🎛️ PANEL DE CONTROL'!B16, 0)</f>
        <v/>
      </c>
      <c r="L17">
        <f>MAX(0, MIN(1000, I17-J17+K17))</f>
        <v/>
      </c>
      <c r="M17">
        <f>'📊 Datos Originales'!H17</f>
        <v/>
      </c>
      <c r="N17" s="6">
        <f>IF('📊 Datos Originales'!P17="muy_nuevo", '🎛️ PANEL DE CONTROL'!B20,
                            IF('📊 Datos Originales'!P17="nuevo", '🎛️ PANEL DE CONTROL'!B21,
                            IF('📊 Datos Originales'!P17="intermedio", '🎛️ PANEL DE CONTROL'!B22,
                            IF('📊 Datos Originales'!P17="establecido", '🎛️ PANEL DE CONTROL'!B23,
                            '🎛️ PANEL DE CONTROL'!B24))))</f>
        <v/>
      </c>
      <c r="O17" s="6">
        <f>1-N17</f>
        <v/>
      </c>
      <c r="P17">
        <f>(L17*N17)+(M17*O17)</f>
        <v/>
      </c>
      <c r="Q17">
        <f>IF(P17&gt;='🎛️ PANEL DE CONTROL'!B28, "A+",
                            IF(P17&gt;='🎛️ PANEL DE CONTROL'!B29, "A",
                            IF(P17&gt;='🎛️ PANEL DE CONTROL'!B30, "A-",
                            IF(P17&gt;='🎛️ PANEL DE CONTROL'!B31, "B+",
                            IF(P17&gt;='🎛️ PANEL DE CONTROL'!B32, "B",
                            IF(P17&gt;='🎛️ PANEL DE CONTROL'!B33, "B-",
                            IF(P17&gt;='🎛️ PANEL DE CONTROL'!B34, "C+",
                            IF(P17&gt;='🎛️ PANEL DE CONTROL'!B35, "C",
                            IF(P17&gt;='🎛️ PANEL DE CONTROL'!B36, "C-",
                            IF(P17&gt;='🎛️ PANEL DE CONTROL'!B37, "D", "F"))))))))))</f>
        <v/>
      </c>
      <c r="R17">
        <f>P17-'📊 Datos Originales'!I17</f>
        <v/>
      </c>
    </row>
    <row r="18">
      <c r="A18">
        <f>'📊 Datos Originales'!A18</f>
        <v/>
      </c>
      <c r="B18">
        <f>'📊 Datos Originales'!B18</f>
        <v/>
      </c>
      <c r="C18">
        <f>'📊 Datos Originales'!C18</f>
        <v/>
      </c>
      <c r="D18">
        <f>'📊 Datos Originales'!D18</f>
        <v/>
      </c>
      <c r="E18">
        <f>'📊 Datos Originales'!E18</f>
        <v/>
      </c>
      <c r="F18">
        <f>(C18/600)*'🎛️ PANEL DE CONTROL'!B6</f>
        <v/>
      </c>
      <c r="G18">
        <f>(D18/150)*'🎛️ PANEL DE CONTROL'!B7</f>
        <v/>
      </c>
      <c r="H18">
        <f>(E18/250)*'🎛️ PANEL DE CONTROL'!B8</f>
        <v/>
      </c>
      <c r="I18">
        <f>F18+G18+H18</f>
        <v/>
      </c>
      <c r="J18">
        <f>=IF('📊 Datos Originales'!L18&gt;30, '🎛️ PANEL DE CONTROL'!B13, 0)+=IF('📊 Datos Originales'!N18&gt;80, '🎛️ PANEL DE CONTROL'!B15, 0)</f>
        <v/>
      </c>
      <c r="K18">
        <f>=IF('📊 Datos Originales'!M18&lt;10, '🎛️ PANEL DE CONTROL'!B14, 0)+=IF('📊 Datos Originales'!O18&gt;24, '🎛️ PANEL DE CONTROL'!B16, 0)</f>
        <v/>
      </c>
      <c r="L18">
        <f>MAX(0, MIN(1000, I18-J18+K18))</f>
        <v/>
      </c>
      <c r="M18">
        <f>'📊 Datos Originales'!H18</f>
        <v/>
      </c>
      <c r="N18" s="6">
        <f>IF('📊 Datos Originales'!P18="muy_nuevo", '🎛️ PANEL DE CONTROL'!B20,
                            IF('📊 Datos Originales'!P18="nuevo", '🎛️ PANEL DE CONTROL'!B21,
                            IF('📊 Datos Originales'!P18="intermedio", '🎛️ PANEL DE CONTROL'!B22,
                            IF('📊 Datos Originales'!P18="establecido", '🎛️ PANEL DE CONTROL'!B23,
                            '🎛️ PANEL DE CONTROL'!B24))))</f>
        <v/>
      </c>
      <c r="O18" s="6">
        <f>1-N18</f>
        <v/>
      </c>
      <c r="P18">
        <f>(L18*N18)+(M18*O18)</f>
        <v/>
      </c>
      <c r="Q18">
        <f>IF(P18&gt;='🎛️ PANEL DE CONTROL'!B28, "A+",
                            IF(P18&gt;='🎛️ PANEL DE CONTROL'!B29, "A",
                            IF(P18&gt;='🎛️ PANEL DE CONTROL'!B30, "A-",
                            IF(P18&gt;='🎛️ PANEL DE CONTROL'!B31, "B+",
                            IF(P18&gt;='🎛️ PANEL DE CONTROL'!B32, "B",
                            IF(P18&gt;='🎛️ PANEL DE CONTROL'!B33, "B-",
                            IF(P18&gt;='🎛️ PANEL DE CONTROL'!B34, "C+",
                            IF(P18&gt;='🎛️ PANEL DE CONTROL'!B35, "C",
                            IF(P18&gt;='🎛️ PANEL DE CONTROL'!B36, "C-",
                            IF(P18&gt;='🎛️ PANEL DE CONTROL'!B37, "D", "F"))))))))))</f>
        <v/>
      </c>
      <c r="R18">
        <f>P18-'📊 Datos Originales'!I18</f>
        <v/>
      </c>
    </row>
    <row r="19">
      <c r="A19">
        <f>'📊 Datos Originales'!A19</f>
        <v/>
      </c>
      <c r="B19">
        <f>'📊 Datos Originales'!B19</f>
        <v/>
      </c>
      <c r="C19">
        <f>'📊 Datos Originales'!C19</f>
        <v/>
      </c>
      <c r="D19">
        <f>'📊 Datos Originales'!D19</f>
        <v/>
      </c>
      <c r="E19">
        <f>'📊 Datos Originales'!E19</f>
        <v/>
      </c>
      <c r="F19">
        <f>(C19/600)*'🎛️ PANEL DE CONTROL'!B6</f>
        <v/>
      </c>
      <c r="G19">
        <f>(D19/150)*'🎛️ PANEL DE CONTROL'!B7</f>
        <v/>
      </c>
      <c r="H19">
        <f>(E19/250)*'🎛️ PANEL DE CONTROL'!B8</f>
        <v/>
      </c>
      <c r="I19">
        <f>F19+G19+H19</f>
        <v/>
      </c>
      <c r="J19">
        <f>=IF('📊 Datos Originales'!L19&gt;30, '🎛️ PANEL DE CONTROL'!B13, 0)+=IF('📊 Datos Originales'!N19&gt;80, '🎛️ PANEL DE CONTROL'!B15, 0)</f>
        <v/>
      </c>
      <c r="K19">
        <f>=IF('📊 Datos Originales'!M19&lt;10, '🎛️ PANEL DE CONTROL'!B14, 0)+=IF('📊 Datos Originales'!O19&gt;24, '🎛️ PANEL DE CONTROL'!B16, 0)</f>
        <v/>
      </c>
      <c r="L19">
        <f>MAX(0, MIN(1000, I19-J19+K19))</f>
        <v/>
      </c>
      <c r="M19">
        <f>'📊 Datos Originales'!H19</f>
        <v/>
      </c>
      <c r="N19" s="6">
        <f>IF('📊 Datos Originales'!P19="muy_nuevo", '🎛️ PANEL DE CONTROL'!B20,
                            IF('📊 Datos Originales'!P19="nuevo", '🎛️ PANEL DE CONTROL'!B21,
                            IF('📊 Datos Originales'!P19="intermedio", '🎛️ PANEL DE CONTROL'!B22,
                            IF('📊 Datos Originales'!P19="establecido", '🎛️ PANEL DE CONTROL'!B23,
                            '🎛️ PANEL DE CONTROL'!B24))))</f>
        <v/>
      </c>
      <c r="O19" s="6">
        <f>1-N19</f>
        <v/>
      </c>
      <c r="P19">
        <f>(L19*N19)+(M19*O19)</f>
        <v/>
      </c>
      <c r="Q19">
        <f>IF(P19&gt;='🎛️ PANEL DE CONTROL'!B28, "A+",
                            IF(P19&gt;='🎛️ PANEL DE CONTROL'!B29, "A",
                            IF(P19&gt;='🎛️ PANEL DE CONTROL'!B30, "A-",
                            IF(P19&gt;='🎛️ PANEL DE CONTROL'!B31, "B+",
                            IF(P19&gt;='🎛️ PANEL DE CONTROL'!B32, "B",
                            IF(P19&gt;='🎛️ PANEL DE CONTROL'!B33, "B-",
                            IF(P19&gt;='🎛️ PANEL DE CONTROL'!B34, "C+",
                            IF(P19&gt;='🎛️ PANEL DE CONTROL'!B35, "C",
                            IF(P19&gt;='🎛️ PANEL DE CONTROL'!B36, "C-",
                            IF(P19&gt;='🎛️ PANEL DE CONTROL'!B37, "D", "F"))))))))))</f>
        <v/>
      </c>
      <c r="R19">
        <f>P19-'📊 Datos Originales'!I19</f>
        <v/>
      </c>
    </row>
    <row r="20">
      <c r="A20">
        <f>'📊 Datos Originales'!A20</f>
        <v/>
      </c>
      <c r="B20">
        <f>'📊 Datos Originales'!B20</f>
        <v/>
      </c>
      <c r="C20">
        <f>'📊 Datos Originales'!C20</f>
        <v/>
      </c>
      <c r="D20">
        <f>'📊 Datos Originales'!D20</f>
        <v/>
      </c>
      <c r="E20">
        <f>'📊 Datos Originales'!E20</f>
        <v/>
      </c>
      <c r="F20">
        <f>(C20/600)*'🎛️ PANEL DE CONTROL'!B6</f>
        <v/>
      </c>
      <c r="G20">
        <f>(D20/150)*'🎛️ PANEL DE CONTROL'!B7</f>
        <v/>
      </c>
      <c r="H20">
        <f>(E20/250)*'🎛️ PANEL DE CONTROL'!B8</f>
        <v/>
      </c>
      <c r="I20">
        <f>F20+G20+H20</f>
        <v/>
      </c>
      <c r="J20">
        <f>=IF('📊 Datos Originales'!L20&gt;30, '🎛️ PANEL DE CONTROL'!B13, 0)+=IF('📊 Datos Originales'!N20&gt;80, '🎛️ PANEL DE CONTROL'!B15, 0)</f>
        <v/>
      </c>
      <c r="K20">
        <f>=IF('📊 Datos Originales'!M20&lt;10, '🎛️ PANEL DE CONTROL'!B14, 0)+=IF('📊 Datos Originales'!O20&gt;24, '🎛️ PANEL DE CONTROL'!B16, 0)</f>
        <v/>
      </c>
      <c r="L20">
        <f>MAX(0, MIN(1000, I20-J20+K20))</f>
        <v/>
      </c>
      <c r="M20">
        <f>'📊 Datos Originales'!H20</f>
        <v/>
      </c>
      <c r="N20" s="6">
        <f>IF('📊 Datos Originales'!P20="muy_nuevo", '🎛️ PANEL DE CONTROL'!B20,
                            IF('📊 Datos Originales'!P20="nuevo", '🎛️ PANEL DE CONTROL'!B21,
                            IF('📊 Datos Originales'!P20="intermedio", '🎛️ PANEL DE CONTROL'!B22,
                            IF('📊 Datos Originales'!P20="establecido", '🎛️ PANEL DE CONTROL'!B23,
                            '🎛️ PANEL DE CONTROL'!B24))))</f>
        <v/>
      </c>
      <c r="O20" s="6">
        <f>1-N20</f>
        <v/>
      </c>
      <c r="P20">
        <f>(L20*N20)+(M20*O20)</f>
        <v/>
      </c>
      <c r="Q20">
        <f>IF(P20&gt;='🎛️ PANEL DE CONTROL'!B28, "A+",
                            IF(P20&gt;='🎛️ PANEL DE CONTROL'!B29, "A",
                            IF(P20&gt;='🎛️ PANEL DE CONTROL'!B30, "A-",
                            IF(P20&gt;='🎛️ PANEL DE CONTROL'!B31, "B+",
                            IF(P20&gt;='🎛️ PANEL DE CONTROL'!B32, "B",
                            IF(P20&gt;='🎛️ PANEL DE CONTROL'!B33, "B-",
                            IF(P20&gt;='🎛️ PANEL DE CONTROL'!B34, "C+",
                            IF(P20&gt;='🎛️ PANEL DE CONTROL'!B35, "C",
                            IF(P20&gt;='🎛️ PANEL DE CONTROL'!B36, "C-",
                            IF(P20&gt;='🎛️ PANEL DE CONTROL'!B37, "D", "F"))))))))))</f>
        <v/>
      </c>
      <c r="R20">
        <f>P20-'📊 Datos Originales'!I20</f>
        <v/>
      </c>
    </row>
    <row r="21">
      <c r="A21">
        <f>'📊 Datos Originales'!A21</f>
        <v/>
      </c>
      <c r="B21">
        <f>'📊 Datos Originales'!B21</f>
        <v/>
      </c>
      <c r="C21">
        <f>'📊 Datos Originales'!C21</f>
        <v/>
      </c>
      <c r="D21">
        <f>'📊 Datos Originales'!D21</f>
        <v/>
      </c>
      <c r="E21">
        <f>'📊 Datos Originales'!E21</f>
        <v/>
      </c>
      <c r="F21">
        <f>(C21/600)*'🎛️ PANEL DE CONTROL'!B6</f>
        <v/>
      </c>
      <c r="G21">
        <f>(D21/150)*'🎛️ PANEL DE CONTROL'!B7</f>
        <v/>
      </c>
      <c r="H21">
        <f>(E21/250)*'🎛️ PANEL DE CONTROL'!B8</f>
        <v/>
      </c>
      <c r="I21">
        <f>F21+G21+H21</f>
        <v/>
      </c>
      <c r="J21">
        <f>=IF('📊 Datos Originales'!L21&gt;30, '🎛️ PANEL DE CONTROL'!B13, 0)+=IF('📊 Datos Originales'!N21&gt;80, '🎛️ PANEL DE CONTROL'!B15, 0)</f>
        <v/>
      </c>
      <c r="K21">
        <f>=IF('📊 Datos Originales'!M21&lt;10, '🎛️ PANEL DE CONTROL'!B14, 0)+=IF('📊 Datos Originales'!O21&gt;24, '🎛️ PANEL DE CONTROL'!B16, 0)</f>
        <v/>
      </c>
      <c r="L21">
        <f>MAX(0, MIN(1000, I21-J21+K21))</f>
        <v/>
      </c>
      <c r="M21">
        <f>'📊 Datos Originales'!H21</f>
        <v/>
      </c>
      <c r="N21" s="6">
        <f>IF('📊 Datos Originales'!P21="muy_nuevo", '🎛️ PANEL DE CONTROL'!B20,
                            IF('📊 Datos Originales'!P21="nuevo", '🎛️ PANEL DE CONTROL'!B21,
                            IF('📊 Datos Originales'!P21="intermedio", '🎛️ PANEL DE CONTROL'!B22,
                            IF('📊 Datos Originales'!P21="establecido", '🎛️ PANEL DE CONTROL'!B23,
                            '🎛️ PANEL DE CONTROL'!B24))))</f>
        <v/>
      </c>
      <c r="O21" s="6">
        <f>1-N21</f>
        <v/>
      </c>
      <c r="P21">
        <f>(L21*N21)+(M21*O21)</f>
        <v/>
      </c>
      <c r="Q21">
        <f>IF(P21&gt;='🎛️ PANEL DE CONTROL'!B28, "A+",
                            IF(P21&gt;='🎛️ PANEL DE CONTROL'!B29, "A",
                            IF(P21&gt;='🎛️ PANEL DE CONTROL'!B30, "A-",
                            IF(P21&gt;='🎛️ PANEL DE CONTROL'!B31, "B+",
                            IF(P21&gt;='🎛️ PANEL DE CONTROL'!B32, "B",
                            IF(P21&gt;='🎛️ PANEL DE CONTROL'!B33, "B-",
                            IF(P21&gt;='🎛️ PANEL DE CONTROL'!B34, "C+",
                            IF(P21&gt;='🎛️ PANEL DE CONTROL'!B35, "C",
                            IF(P21&gt;='🎛️ PANEL DE CONTROL'!B36, "C-",
                            IF(P21&gt;='🎛️ PANEL DE CONTROL'!B37, "D", "F"))))))))))</f>
        <v/>
      </c>
      <c r="R21">
        <f>P21-'📊 Datos Originales'!I21</f>
        <v/>
      </c>
    </row>
    <row r="22">
      <c r="A22">
        <f>'📊 Datos Originales'!A22</f>
        <v/>
      </c>
      <c r="B22">
        <f>'📊 Datos Originales'!B22</f>
        <v/>
      </c>
      <c r="C22">
        <f>'📊 Datos Originales'!C22</f>
        <v/>
      </c>
      <c r="D22">
        <f>'📊 Datos Originales'!D22</f>
        <v/>
      </c>
      <c r="E22">
        <f>'📊 Datos Originales'!E22</f>
        <v/>
      </c>
      <c r="F22">
        <f>(C22/600)*'🎛️ PANEL DE CONTROL'!B6</f>
        <v/>
      </c>
      <c r="G22">
        <f>(D22/150)*'🎛️ PANEL DE CONTROL'!B7</f>
        <v/>
      </c>
      <c r="H22">
        <f>(E22/250)*'🎛️ PANEL DE CONTROL'!B8</f>
        <v/>
      </c>
      <c r="I22">
        <f>F22+G22+H22</f>
        <v/>
      </c>
      <c r="J22">
        <f>=IF('📊 Datos Originales'!L22&gt;30, '🎛️ PANEL DE CONTROL'!B13, 0)+=IF('📊 Datos Originales'!N22&gt;80, '🎛️ PANEL DE CONTROL'!B15, 0)</f>
        <v/>
      </c>
      <c r="K22">
        <f>=IF('📊 Datos Originales'!M22&lt;10, '🎛️ PANEL DE CONTROL'!B14, 0)+=IF('📊 Datos Originales'!O22&gt;24, '🎛️ PANEL DE CONTROL'!B16, 0)</f>
        <v/>
      </c>
      <c r="L22">
        <f>MAX(0, MIN(1000, I22-J22+K22))</f>
        <v/>
      </c>
      <c r="M22">
        <f>'📊 Datos Originales'!H22</f>
        <v/>
      </c>
      <c r="N22" s="6">
        <f>IF('📊 Datos Originales'!P22="muy_nuevo", '🎛️ PANEL DE CONTROL'!B20,
                            IF('📊 Datos Originales'!P22="nuevo", '🎛️ PANEL DE CONTROL'!B21,
                            IF('📊 Datos Originales'!P22="intermedio", '🎛️ PANEL DE CONTROL'!B22,
                            IF('📊 Datos Originales'!P22="establecido", '🎛️ PANEL DE CONTROL'!B23,
                            '🎛️ PANEL DE CONTROL'!B24))))</f>
        <v/>
      </c>
      <c r="O22" s="6">
        <f>1-N22</f>
        <v/>
      </c>
      <c r="P22">
        <f>(L22*N22)+(M22*O22)</f>
        <v/>
      </c>
      <c r="Q22">
        <f>IF(P22&gt;='🎛️ PANEL DE CONTROL'!B28, "A+",
                            IF(P22&gt;='🎛️ PANEL DE CONTROL'!B29, "A",
                            IF(P22&gt;='🎛️ PANEL DE CONTROL'!B30, "A-",
                            IF(P22&gt;='🎛️ PANEL DE CONTROL'!B31, "B+",
                            IF(P22&gt;='🎛️ PANEL DE CONTROL'!B32, "B",
                            IF(P22&gt;='🎛️ PANEL DE CONTROL'!B33, "B-",
                            IF(P22&gt;='🎛️ PANEL DE CONTROL'!B34, "C+",
                            IF(P22&gt;='🎛️ PANEL DE CONTROL'!B35, "C",
                            IF(P22&gt;='🎛️ PANEL DE CONTROL'!B36, "C-",
                            IF(P22&gt;='🎛️ PANEL DE CONTROL'!B37, "D", "F"))))))))))</f>
        <v/>
      </c>
      <c r="R22">
        <f>P22-'📊 Datos Originales'!I22</f>
        <v/>
      </c>
    </row>
    <row r="23">
      <c r="A23">
        <f>'📊 Datos Originales'!A23</f>
        <v/>
      </c>
      <c r="B23">
        <f>'📊 Datos Originales'!B23</f>
        <v/>
      </c>
      <c r="C23">
        <f>'📊 Datos Originales'!C23</f>
        <v/>
      </c>
      <c r="D23">
        <f>'📊 Datos Originales'!D23</f>
        <v/>
      </c>
      <c r="E23">
        <f>'📊 Datos Originales'!E23</f>
        <v/>
      </c>
      <c r="F23">
        <f>(C23/600)*'🎛️ PANEL DE CONTROL'!B6</f>
        <v/>
      </c>
      <c r="G23">
        <f>(D23/150)*'🎛️ PANEL DE CONTROL'!B7</f>
        <v/>
      </c>
      <c r="H23">
        <f>(E23/250)*'🎛️ PANEL DE CONTROL'!B8</f>
        <v/>
      </c>
      <c r="I23">
        <f>F23+G23+H23</f>
        <v/>
      </c>
      <c r="J23">
        <f>=IF('📊 Datos Originales'!L23&gt;30, '🎛️ PANEL DE CONTROL'!B13, 0)+=IF('📊 Datos Originales'!N23&gt;80, '🎛️ PANEL DE CONTROL'!B15, 0)</f>
        <v/>
      </c>
      <c r="K23">
        <f>=IF('📊 Datos Originales'!M23&lt;10, '🎛️ PANEL DE CONTROL'!B14, 0)+=IF('📊 Datos Originales'!O23&gt;24, '🎛️ PANEL DE CONTROL'!B16, 0)</f>
        <v/>
      </c>
      <c r="L23">
        <f>MAX(0, MIN(1000, I23-J23+K23))</f>
        <v/>
      </c>
      <c r="M23">
        <f>'📊 Datos Originales'!H23</f>
        <v/>
      </c>
      <c r="N23" s="6">
        <f>IF('📊 Datos Originales'!P23="muy_nuevo", '🎛️ PANEL DE CONTROL'!B20,
                            IF('📊 Datos Originales'!P23="nuevo", '🎛️ PANEL DE CONTROL'!B21,
                            IF('📊 Datos Originales'!P23="intermedio", '🎛️ PANEL DE CONTROL'!B22,
                            IF('📊 Datos Originales'!P23="establecido", '🎛️ PANEL DE CONTROL'!B23,
                            '🎛️ PANEL DE CONTROL'!B24))))</f>
        <v/>
      </c>
      <c r="O23" s="6">
        <f>1-N23</f>
        <v/>
      </c>
      <c r="P23">
        <f>(L23*N23)+(M23*O23)</f>
        <v/>
      </c>
      <c r="Q23">
        <f>IF(P23&gt;='🎛️ PANEL DE CONTROL'!B28, "A+",
                            IF(P23&gt;='🎛️ PANEL DE CONTROL'!B29, "A",
                            IF(P23&gt;='🎛️ PANEL DE CONTROL'!B30, "A-",
                            IF(P23&gt;='🎛️ PANEL DE CONTROL'!B31, "B+",
                            IF(P23&gt;='🎛️ PANEL DE CONTROL'!B32, "B",
                            IF(P23&gt;='🎛️ PANEL DE CONTROL'!B33, "B-",
                            IF(P23&gt;='🎛️ PANEL DE CONTROL'!B34, "C+",
                            IF(P23&gt;='🎛️ PANEL DE CONTROL'!B35, "C",
                            IF(P23&gt;='🎛️ PANEL DE CONTROL'!B36, "C-",
                            IF(P23&gt;='🎛️ PANEL DE CONTROL'!B37, "D", "F"))))))))))</f>
        <v/>
      </c>
      <c r="R23">
        <f>P23-'📊 Datos Originales'!I23</f>
        <v/>
      </c>
    </row>
    <row r="24">
      <c r="A24">
        <f>'📊 Datos Originales'!A24</f>
        <v/>
      </c>
      <c r="B24">
        <f>'📊 Datos Originales'!B24</f>
        <v/>
      </c>
      <c r="C24">
        <f>'📊 Datos Originales'!C24</f>
        <v/>
      </c>
      <c r="D24">
        <f>'📊 Datos Originales'!D24</f>
        <v/>
      </c>
      <c r="E24">
        <f>'📊 Datos Originales'!E24</f>
        <v/>
      </c>
      <c r="F24">
        <f>(C24/600)*'🎛️ PANEL DE CONTROL'!B6</f>
        <v/>
      </c>
      <c r="G24">
        <f>(D24/150)*'🎛️ PANEL DE CONTROL'!B7</f>
        <v/>
      </c>
      <c r="H24">
        <f>(E24/250)*'🎛️ PANEL DE CONTROL'!B8</f>
        <v/>
      </c>
      <c r="I24">
        <f>F24+G24+H24</f>
        <v/>
      </c>
      <c r="J24">
        <f>=IF('📊 Datos Originales'!L24&gt;30, '🎛️ PANEL DE CONTROL'!B13, 0)+=IF('📊 Datos Originales'!N24&gt;80, '🎛️ PANEL DE CONTROL'!B15, 0)</f>
        <v/>
      </c>
      <c r="K24">
        <f>=IF('📊 Datos Originales'!M24&lt;10, '🎛️ PANEL DE CONTROL'!B14, 0)+=IF('📊 Datos Originales'!O24&gt;24, '🎛️ PANEL DE CONTROL'!B16, 0)</f>
        <v/>
      </c>
      <c r="L24">
        <f>MAX(0, MIN(1000, I24-J24+K24))</f>
        <v/>
      </c>
      <c r="M24">
        <f>'📊 Datos Originales'!H24</f>
        <v/>
      </c>
      <c r="N24" s="6">
        <f>IF('📊 Datos Originales'!P24="muy_nuevo", '🎛️ PANEL DE CONTROL'!B20,
                            IF('📊 Datos Originales'!P24="nuevo", '🎛️ PANEL DE CONTROL'!B21,
                            IF('📊 Datos Originales'!P24="intermedio", '🎛️ PANEL DE CONTROL'!B22,
                            IF('📊 Datos Originales'!P24="establecido", '🎛️ PANEL DE CONTROL'!B23,
                            '🎛️ PANEL DE CONTROL'!B24))))</f>
        <v/>
      </c>
      <c r="O24" s="6">
        <f>1-N24</f>
        <v/>
      </c>
      <c r="P24">
        <f>(L24*N24)+(M24*O24)</f>
        <v/>
      </c>
      <c r="Q24">
        <f>IF(P24&gt;='🎛️ PANEL DE CONTROL'!B28, "A+",
                            IF(P24&gt;='🎛️ PANEL DE CONTROL'!B29, "A",
                            IF(P24&gt;='🎛️ PANEL DE CONTROL'!B30, "A-",
                            IF(P24&gt;='🎛️ PANEL DE CONTROL'!B31, "B+",
                            IF(P24&gt;='🎛️ PANEL DE CONTROL'!B32, "B",
                            IF(P24&gt;='🎛️ PANEL DE CONTROL'!B33, "B-",
                            IF(P24&gt;='🎛️ PANEL DE CONTROL'!B34, "C+",
                            IF(P24&gt;='🎛️ PANEL DE CONTROL'!B35, "C",
                            IF(P24&gt;='🎛️ PANEL DE CONTROL'!B36, "C-",
                            IF(P24&gt;='🎛️ PANEL DE CONTROL'!B37, "D", "F"))))))))))</f>
        <v/>
      </c>
      <c r="R24">
        <f>P24-'📊 Datos Originales'!I24</f>
        <v/>
      </c>
    </row>
    <row r="25">
      <c r="A25">
        <f>'📊 Datos Originales'!A25</f>
        <v/>
      </c>
      <c r="B25">
        <f>'📊 Datos Originales'!B25</f>
        <v/>
      </c>
      <c r="C25">
        <f>'📊 Datos Originales'!C25</f>
        <v/>
      </c>
      <c r="D25">
        <f>'📊 Datos Originales'!D25</f>
        <v/>
      </c>
      <c r="E25">
        <f>'📊 Datos Originales'!E25</f>
        <v/>
      </c>
      <c r="F25">
        <f>(C25/600)*'🎛️ PANEL DE CONTROL'!B6</f>
        <v/>
      </c>
      <c r="G25">
        <f>(D25/150)*'🎛️ PANEL DE CONTROL'!B7</f>
        <v/>
      </c>
      <c r="H25">
        <f>(E25/250)*'🎛️ PANEL DE CONTROL'!B8</f>
        <v/>
      </c>
      <c r="I25">
        <f>F25+G25+H25</f>
        <v/>
      </c>
      <c r="J25">
        <f>=IF('📊 Datos Originales'!L25&gt;30, '🎛️ PANEL DE CONTROL'!B13, 0)+=IF('📊 Datos Originales'!N25&gt;80, '🎛️ PANEL DE CONTROL'!B15, 0)</f>
        <v/>
      </c>
      <c r="K25">
        <f>=IF('📊 Datos Originales'!M25&lt;10, '🎛️ PANEL DE CONTROL'!B14, 0)+=IF('📊 Datos Originales'!O25&gt;24, '🎛️ PANEL DE CONTROL'!B16, 0)</f>
        <v/>
      </c>
      <c r="L25">
        <f>MAX(0, MIN(1000, I25-J25+K25))</f>
        <v/>
      </c>
      <c r="M25">
        <f>'📊 Datos Originales'!H25</f>
        <v/>
      </c>
      <c r="N25" s="6">
        <f>IF('📊 Datos Originales'!P25="muy_nuevo", '🎛️ PANEL DE CONTROL'!B20,
                            IF('📊 Datos Originales'!P25="nuevo", '🎛️ PANEL DE CONTROL'!B21,
                            IF('📊 Datos Originales'!P25="intermedio", '🎛️ PANEL DE CONTROL'!B22,
                            IF('📊 Datos Originales'!P25="establecido", '🎛️ PANEL DE CONTROL'!B23,
                            '🎛️ PANEL DE CONTROL'!B24))))</f>
        <v/>
      </c>
      <c r="O25" s="6">
        <f>1-N25</f>
        <v/>
      </c>
      <c r="P25">
        <f>(L25*N25)+(M25*O25)</f>
        <v/>
      </c>
      <c r="Q25">
        <f>IF(P25&gt;='🎛️ PANEL DE CONTROL'!B28, "A+",
                            IF(P25&gt;='🎛️ PANEL DE CONTROL'!B29, "A",
                            IF(P25&gt;='🎛️ PANEL DE CONTROL'!B30, "A-",
                            IF(P25&gt;='🎛️ PANEL DE CONTROL'!B31, "B+",
                            IF(P25&gt;='🎛️ PANEL DE CONTROL'!B32, "B",
                            IF(P25&gt;='🎛️ PANEL DE CONTROL'!B33, "B-",
                            IF(P25&gt;='🎛️ PANEL DE CONTROL'!B34, "C+",
                            IF(P25&gt;='🎛️ PANEL DE CONTROL'!B35, "C",
                            IF(P25&gt;='🎛️ PANEL DE CONTROL'!B36, "C-",
                            IF(P25&gt;='🎛️ PANEL DE CONTROL'!B37, "D", "F"))))))))))</f>
        <v/>
      </c>
      <c r="R25">
        <f>P25-'📊 Datos Originales'!I25</f>
        <v/>
      </c>
    </row>
    <row r="26">
      <c r="A26">
        <f>'📊 Datos Originales'!A26</f>
        <v/>
      </c>
      <c r="B26">
        <f>'📊 Datos Originales'!B26</f>
        <v/>
      </c>
      <c r="C26">
        <f>'📊 Datos Originales'!C26</f>
        <v/>
      </c>
      <c r="D26">
        <f>'📊 Datos Originales'!D26</f>
        <v/>
      </c>
      <c r="E26">
        <f>'📊 Datos Originales'!E26</f>
        <v/>
      </c>
      <c r="F26">
        <f>(C26/600)*'🎛️ PANEL DE CONTROL'!B6</f>
        <v/>
      </c>
      <c r="G26">
        <f>(D26/150)*'🎛️ PANEL DE CONTROL'!B7</f>
        <v/>
      </c>
      <c r="H26">
        <f>(E26/250)*'🎛️ PANEL DE CONTROL'!B8</f>
        <v/>
      </c>
      <c r="I26">
        <f>F26+G26+H26</f>
        <v/>
      </c>
      <c r="J26">
        <f>=IF('📊 Datos Originales'!L26&gt;30, '🎛️ PANEL DE CONTROL'!B13, 0)+=IF('📊 Datos Originales'!N26&gt;80, '🎛️ PANEL DE CONTROL'!B15, 0)</f>
        <v/>
      </c>
      <c r="K26">
        <f>=IF('📊 Datos Originales'!M26&lt;10, '🎛️ PANEL DE CONTROL'!B14, 0)+=IF('📊 Datos Originales'!O26&gt;24, '🎛️ PANEL DE CONTROL'!B16, 0)</f>
        <v/>
      </c>
      <c r="L26">
        <f>MAX(0, MIN(1000, I26-J26+K26))</f>
        <v/>
      </c>
      <c r="M26">
        <f>'📊 Datos Originales'!H26</f>
        <v/>
      </c>
      <c r="N26" s="6">
        <f>IF('📊 Datos Originales'!P26="muy_nuevo", '🎛️ PANEL DE CONTROL'!B20,
                            IF('📊 Datos Originales'!P26="nuevo", '🎛️ PANEL DE CONTROL'!B21,
                            IF('📊 Datos Originales'!P26="intermedio", '🎛️ PANEL DE CONTROL'!B22,
                            IF('📊 Datos Originales'!P26="establecido", '🎛️ PANEL DE CONTROL'!B23,
                            '🎛️ PANEL DE CONTROL'!B24))))</f>
        <v/>
      </c>
      <c r="O26" s="6">
        <f>1-N26</f>
        <v/>
      </c>
      <c r="P26">
        <f>(L26*N26)+(M26*O26)</f>
        <v/>
      </c>
      <c r="Q26">
        <f>IF(P26&gt;='🎛️ PANEL DE CONTROL'!B28, "A+",
                            IF(P26&gt;='🎛️ PANEL DE CONTROL'!B29, "A",
                            IF(P26&gt;='🎛️ PANEL DE CONTROL'!B30, "A-",
                            IF(P26&gt;='🎛️ PANEL DE CONTROL'!B31, "B+",
                            IF(P26&gt;='🎛️ PANEL DE CONTROL'!B32, "B",
                            IF(P26&gt;='🎛️ PANEL DE CONTROL'!B33, "B-",
                            IF(P26&gt;='🎛️ PANEL DE CONTROL'!B34, "C+",
                            IF(P26&gt;='🎛️ PANEL DE CONTROL'!B35, "C",
                            IF(P26&gt;='🎛️ PANEL DE CONTROL'!B36, "C-",
                            IF(P26&gt;='🎛️ PANEL DE CONTROL'!B37, "D", "F"))))))))))</f>
        <v/>
      </c>
      <c r="R26">
        <f>P26-'📊 Datos Originales'!I26</f>
        <v/>
      </c>
    </row>
    <row r="27">
      <c r="A27">
        <f>'📊 Datos Originales'!A27</f>
        <v/>
      </c>
      <c r="B27">
        <f>'📊 Datos Originales'!B27</f>
        <v/>
      </c>
      <c r="C27">
        <f>'📊 Datos Originales'!C27</f>
        <v/>
      </c>
      <c r="D27">
        <f>'📊 Datos Originales'!D27</f>
        <v/>
      </c>
      <c r="E27">
        <f>'📊 Datos Originales'!E27</f>
        <v/>
      </c>
      <c r="F27">
        <f>(C27/600)*'🎛️ PANEL DE CONTROL'!B6</f>
        <v/>
      </c>
      <c r="G27">
        <f>(D27/150)*'🎛️ PANEL DE CONTROL'!B7</f>
        <v/>
      </c>
      <c r="H27">
        <f>(E27/250)*'🎛️ PANEL DE CONTROL'!B8</f>
        <v/>
      </c>
      <c r="I27">
        <f>F27+G27+H27</f>
        <v/>
      </c>
      <c r="J27">
        <f>=IF('📊 Datos Originales'!L27&gt;30, '🎛️ PANEL DE CONTROL'!B13, 0)+=IF('📊 Datos Originales'!N27&gt;80, '🎛️ PANEL DE CONTROL'!B15, 0)</f>
        <v/>
      </c>
      <c r="K27">
        <f>=IF('📊 Datos Originales'!M27&lt;10, '🎛️ PANEL DE CONTROL'!B14, 0)+=IF('📊 Datos Originales'!O27&gt;24, '🎛️ PANEL DE CONTROL'!B16, 0)</f>
        <v/>
      </c>
      <c r="L27">
        <f>MAX(0, MIN(1000, I27-J27+K27))</f>
        <v/>
      </c>
      <c r="M27">
        <f>'📊 Datos Originales'!H27</f>
        <v/>
      </c>
      <c r="N27" s="6">
        <f>IF('📊 Datos Originales'!P27="muy_nuevo", '🎛️ PANEL DE CONTROL'!B20,
                            IF('📊 Datos Originales'!P27="nuevo", '🎛️ PANEL DE CONTROL'!B21,
                            IF('📊 Datos Originales'!P27="intermedio", '🎛️ PANEL DE CONTROL'!B22,
                            IF('📊 Datos Originales'!P27="establecido", '🎛️ PANEL DE CONTROL'!B23,
                            '🎛️ PANEL DE CONTROL'!B24))))</f>
        <v/>
      </c>
      <c r="O27" s="6">
        <f>1-N27</f>
        <v/>
      </c>
      <c r="P27">
        <f>(L27*N27)+(M27*O27)</f>
        <v/>
      </c>
      <c r="Q27">
        <f>IF(P27&gt;='🎛️ PANEL DE CONTROL'!B28, "A+",
                            IF(P27&gt;='🎛️ PANEL DE CONTROL'!B29, "A",
                            IF(P27&gt;='🎛️ PANEL DE CONTROL'!B30, "A-",
                            IF(P27&gt;='🎛️ PANEL DE CONTROL'!B31, "B+",
                            IF(P27&gt;='🎛️ PANEL DE CONTROL'!B32, "B",
                            IF(P27&gt;='🎛️ PANEL DE CONTROL'!B33, "B-",
                            IF(P27&gt;='🎛️ PANEL DE CONTROL'!B34, "C+",
                            IF(P27&gt;='🎛️ PANEL DE CONTROL'!B35, "C",
                            IF(P27&gt;='🎛️ PANEL DE CONTROL'!B36, "C-",
                            IF(P27&gt;='🎛️ PANEL DE CONTROL'!B37, "D", "F"))))))))))</f>
        <v/>
      </c>
      <c r="R27">
        <f>P27-'📊 Datos Originales'!I27</f>
        <v/>
      </c>
    </row>
    <row r="28">
      <c r="A28">
        <f>'📊 Datos Originales'!A28</f>
        <v/>
      </c>
      <c r="B28">
        <f>'📊 Datos Originales'!B28</f>
        <v/>
      </c>
      <c r="C28">
        <f>'📊 Datos Originales'!C28</f>
        <v/>
      </c>
      <c r="D28">
        <f>'📊 Datos Originales'!D28</f>
        <v/>
      </c>
      <c r="E28">
        <f>'📊 Datos Originales'!E28</f>
        <v/>
      </c>
      <c r="F28">
        <f>(C28/600)*'🎛️ PANEL DE CONTROL'!B6</f>
        <v/>
      </c>
      <c r="G28">
        <f>(D28/150)*'🎛️ PANEL DE CONTROL'!B7</f>
        <v/>
      </c>
      <c r="H28">
        <f>(E28/250)*'🎛️ PANEL DE CONTROL'!B8</f>
        <v/>
      </c>
      <c r="I28">
        <f>F28+G28+H28</f>
        <v/>
      </c>
      <c r="J28">
        <f>=IF('📊 Datos Originales'!L28&gt;30, '🎛️ PANEL DE CONTROL'!B13, 0)+=IF('📊 Datos Originales'!N28&gt;80, '🎛️ PANEL DE CONTROL'!B15, 0)</f>
        <v/>
      </c>
      <c r="K28">
        <f>=IF('📊 Datos Originales'!M28&lt;10, '🎛️ PANEL DE CONTROL'!B14, 0)+=IF('📊 Datos Originales'!O28&gt;24, '🎛️ PANEL DE CONTROL'!B16, 0)</f>
        <v/>
      </c>
      <c r="L28">
        <f>MAX(0, MIN(1000, I28-J28+K28))</f>
        <v/>
      </c>
      <c r="M28">
        <f>'📊 Datos Originales'!H28</f>
        <v/>
      </c>
      <c r="N28" s="6">
        <f>IF('📊 Datos Originales'!P28="muy_nuevo", '🎛️ PANEL DE CONTROL'!B20,
                            IF('📊 Datos Originales'!P28="nuevo", '🎛️ PANEL DE CONTROL'!B21,
                            IF('📊 Datos Originales'!P28="intermedio", '🎛️ PANEL DE CONTROL'!B22,
                            IF('📊 Datos Originales'!P28="establecido", '🎛️ PANEL DE CONTROL'!B23,
                            '🎛️ PANEL DE CONTROL'!B24))))</f>
        <v/>
      </c>
      <c r="O28" s="6">
        <f>1-N28</f>
        <v/>
      </c>
      <c r="P28">
        <f>(L28*N28)+(M28*O28)</f>
        <v/>
      </c>
      <c r="Q28">
        <f>IF(P28&gt;='🎛️ PANEL DE CONTROL'!B28, "A+",
                            IF(P28&gt;='🎛️ PANEL DE CONTROL'!B29, "A",
                            IF(P28&gt;='🎛️ PANEL DE CONTROL'!B30, "A-",
                            IF(P28&gt;='🎛️ PANEL DE CONTROL'!B31, "B+",
                            IF(P28&gt;='🎛️ PANEL DE CONTROL'!B32, "B",
                            IF(P28&gt;='🎛️ PANEL DE CONTROL'!B33, "B-",
                            IF(P28&gt;='🎛️ PANEL DE CONTROL'!B34, "C+",
                            IF(P28&gt;='🎛️ PANEL DE CONTROL'!B35, "C",
                            IF(P28&gt;='🎛️ PANEL DE CONTROL'!B36, "C-",
                            IF(P28&gt;='🎛️ PANEL DE CONTROL'!B37, "D", "F"))))))))))</f>
        <v/>
      </c>
      <c r="R28">
        <f>P28-'📊 Datos Originales'!I28</f>
        <v/>
      </c>
    </row>
    <row r="29">
      <c r="A29">
        <f>'📊 Datos Originales'!A29</f>
        <v/>
      </c>
      <c r="B29">
        <f>'📊 Datos Originales'!B29</f>
        <v/>
      </c>
      <c r="C29">
        <f>'📊 Datos Originales'!C29</f>
        <v/>
      </c>
      <c r="D29">
        <f>'📊 Datos Originales'!D29</f>
        <v/>
      </c>
      <c r="E29">
        <f>'📊 Datos Originales'!E29</f>
        <v/>
      </c>
      <c r="F29">
        <f>(C29/600)*'🎛️ PANEL DE CONTROL'!B6</f>
        <v/>
      </c>
      <c r="G29">
        <f>(D29/150)*'🎛️ PANEL DE CONTROL'!B7</f>
        <v/>
      </c>
      <c r="H29">
        <f>(E29/250)*'🎛️ PANEL DE CONTROL'!B8</f>
        <v/>
      </c>
      <c r="I29">
        <f>F29+G29+H29</f>
        <v/>
      </c>
      <c r="J29">
        <f>=IF('📊 Datos Originales'!L29&gt;30, '🎛️ PANEL DE CONTROL'!B13, 0)+=IF('📊 Datos Originales'!N29&gt;80, '🎛️ PANEL DE CONTROL'!B15, 0)</f>
        <v/>
      </c>
      <c r="K29">
        <f>=IF('📊 Datos Originales'!M29&lt;10, '🎛️ PANEL DE CONTROL'!B14, 0)+=IF('📊 Datos Originales'!O29&gt;24, '🎛️ PANEL DE CONTROL'!B16, 0)</f>
        <v/>
      </c>
      <c r="L29">
        <f>MAX(0, MIN(1000, I29-J29+K29))</f>
        <v/>
      </c>
      <c r="M29">
        <f>'📊 Datos Originales'!H29</f>
        <v/>
      </c>
      <c r="N29" s="6">
        <f>IF('📊 Datos Originales'!P29="muy_nuevo", '🎛️ PANEL DE CONTROL'!B20,
                            IF('📊 Datos Originales'!P29="nuevo", '🎛️ PANEL DE CONTROL'!B21,
                            IF('📊 Datos Originales'!P29="intermedio", '🎛️ PANEL DE CONTROL'!B22,
                            IF('📊 Datos Originales'!P29="establecido", '🎛️ PANEL DE CONTROL'!B23,
                            '🎛️ PANEL DE CONTROL'!B24))))</f>
        <v/>
      </c>
      <c r="O29" s="6">
        <f>1-N29</f>
        <v/>
      </c>
      <c r="P29">
        <f>(L29*N29)+(M29*O29)</f>
        <v/>
      </c>
      <c r="Q29">
        <f>IF(P29&gt;='🎛️ PANEL DE CONTROL'!B28, "A+",
                            IF(P29&gt;='🎛️ PANEL DE CONTROL'!B29, "A",
                            IF(P29&gt;='🎛️ PANEL DE CONTROL'!B30, "A-",
                            IF(P29&gt;='🎛️ PANEL DE CONTROL'!B31, "B+",
                            IF(P29&gt;='🎛️ PANEL DE CONTROL'!B32, "B",
                            IF(P29&gt;='🎛️ PANEL DE CONTROL'!B33, "B-",
                            IF(P29&gt;='🎛️ PANEL DE CONTROL'!B34, "C+",
                            IF(P29&gt;='🎛️ PANEL DE CONTROL'!B35, "C",
                            IF(P29&gt;='🎛️ PANEL DE CONTROL'!B36, "C-",
                            IF(P29&gt;='🎛️ PANEL DE CONTROL'!B37, "D", "F"))))))))))</f>
        <v/>
      </c>
      <c r="R29">
        <f>P29-'📊 Datos Originales'!I29</f>
        <v/>
      </c>
    </row>
    <row r="30">
      <c r="A30">
        <f>'📊 Datos Originales'!A30</f>
        <v/>
      </c>
      <c r="B30">
        <f>'📊 Datos Originales'!B30</f>
        <v/>
      </c>
      <c r="C30">
        <f>'📊 Datos Originales'!C30</f>
        <v/>
      </c>
      <c r="D30">
        <f>'📊 Datos Originales'!D30</f>
        <v/>
      </c>
      <c r="E30">
        <f>'📊 Datos Originales'!E30</f>
        <v/>
      </c>
      <c r="F30">
        <f>(C30/600)*'🎛️ PANEL DE CONTROL'!B6</f>
        <v/>
      </c>
      <c r="G30">
        <f>(D30/150)*'🎛️ PANEL DE CONTROL'!B7</f>
        <v/>
      </c>
      <c r="H30">
        <f>(E30/250)*'🎛️ PANEL DE CONTROL'!B8</f>
        <v/>
      </c>
      <c r="I30">
        <f>F30+G30+H30</f>
        <v/>
      </c>
      <c r="J30">
        <f>=IF('📊 Datos Originales'!L30&gt;30, '🎛️ PANEL DE CONTROL'!B13, 0)+=IF('📊 Datos Originales'!N30&gt;80, '🎛️ PANEL DE CONTROL'!B15, 0)</f>
        <v/>
      </c>
      <c r="K30">
        <f>=IF('📊 Datos Originales'!M30&lt;10, '🎛️ PANEL DE CONTROL'!B14, 0)+=IF('📊 Datos Originales'!O30&gt;24, '🎛️ PANEL DE CONTROL'!B16, 0)</f>
        <v/>
      </c>
      <c r="L30">
        <f>MAX(0, MIN(1000, I30-J30+K30))</f>
        <v/>
      </c>
      <c r="M30">
        <f>'📊 Datos Originales'!H30</f>
        <v/>
      </c>
      <c r="N30" s="6">
        <f>IF('📊 Datos Originales'!P30="muy_nuevo", '🎛️ PANEL DE CONTROL'!B20,
                            IF('📊 Datos Originales'!P30="nuevo", '🎛️ PANEL DE CONTROL'!B21,
                            IF('📊 Datos Originales'!P30="intermedio", '🎛️ PANEL DE CONTROL'!B22,
                            IF('📊 Datos Originales'!P30="establecido", '🎛️ PANEL DE CONTROL'!B23,
                            '🎛️ PANEL DE CONTROL'!B24))))</f>
        <v/>
      </c>
      <c r="O30" s="6">
        <f>1-N30</f>
        <v/>
      </c>
      <c r="P30">
        <f>(L30*N30)+(M30*O30)</f>
        <v/>
      </c>
      <c r="Q30">
        <f>IF(P30&gt;='🎛️ PANEL DE CONTROL'!B28, "A+",
                            IF(P30&gt;='🎛️ PANEL DE CONTROL'!B29, "A",
                            IF(P30&gt;='🎛️ PANEL DE CONTROL'!B30, "A-",
                            IF(P30&gt;='🎛️ PANEL DE CONTROL'!B31, "B+",
                            IF(P30&gt;='🎛️ PANEL DE CONTROL'!B32, "B",
                            IF(P30&gt;='🎛️ PANEL DE CONTROL'!B33, "B-",
                            IF(P30&gt;='🎛️ PANEL DE CONTROL'!B34, "C+",
                            IF(P30&gt;='🎛️ PANEL DE CONTROL'!B35, "C",
                            IF(P30&gt;='🎛️ PANEL DE CONTROL'!B36, "C-",
                            IF(P30&gt;='🎛️ PANEL DE CONTROL'!B37, "D", "F"))))))))))</f>
        <v/>
      </c>
      <c r="R30">
        <f>P30-'📊 Datos Originales'!I30</f>
        <v/>
      </c>
    </row>
    <row r="31">
      <c r="A31">
        <f>'📊 Datos Originales'!A31</f>
        <v/>
      </c>
      <c r="B31">
        <f>'📊 Datos Originales'!B31</f>
        <v/>
      </c>
      <c r="C31">
        <f>'📊 Datos Originales'!C31</f>
        <v/>
      </c>
      <c r="D31">
        <f>'📊 Datos Originales'!D31</f>
        <v/>
      </c>
      <c r="E31">
        <f>'📊 Datos Originales'!E31</f>
        <v/>
      </c>
      <c r="F31">
        <f>(C31/600)*'🎛️ PANEL DE CONTROL'!B6</f>
        <v/>
      </c>
      <c r="G31">
        <f>(D31/150)*'🎛️ PANEL DE CONTROL'!B7</f>
        <v/>
      </c>
      <c r="H31">
        <f>(E31/250)*'🎛️ PANEL DE CONTROL'!B8</f>
        <v/>
      </c>
      <c r="I31">
        <f>F31+G31+H31</f>
        <v/>
      </c>
      <c r="J31">
        <f>=IF('📊 Datos Originales'!L31&gt;30, '🎛️ PANEL DE CONTROL'!B13, 0)+=IF('📊 Datos Originales'!N31&gt;80, '🎛️ PANEL DE CONTROL'!B15, 0)</f>
        <v/>
      </c>
      <c r="K31">
        <f>=IF('📊 Datos Originales'!M31&lt;10, '🎛️ PANEL DE CONTROL'!B14, 0)+=IF('📊 Datos Originales'!O31&gt;24, '🎛️ PANEL DE CONTROL'!B16, 0)</f>
        <v/>
      </c>
      <c r="L31">
        <f>MAX(0, MIN(1000, I31-J31+K31))</f>
        <v/>
      </c>
      <c r="M31">
        <f>'📊 Datos Originales'!H31</f>
        <v/>
      </c>
      <c r="N31" s="6">
        <f>IF('📊 Datos Originales'!P31="muy_nuevo", '🎛️ PANEL DE CONTROL'!B20,
                            IF('📊 Datos Originales'!P31="nuevo", '🎛️ PANEL DE CONTROL'!B21,
                            IF('📊 Datos Originales'!P31="intermedio", '🎛️ PANEL DE CONTROL'!B22,
                            IF('📊 Datos Originales'!P31="establecido", '🎛️ PANEL DE CONTROL'!B23,
                            '🎛️ PANEL DE CONTROL'!B24))))</f>
        <v/>
      </c>
      <c r="O31" s="6">
        <f>1-N31</f>
        <v/>
      </c>
      <c r="P31">
        <f>(L31*N31)+(M31*O31)</f>
        <v/>
      </c>
      <c r="Q31">
        <f>IF(P31&gt;='🎛️ PANEL DE CONTROL'!B28, "A+",
                            IF(P31&gt;='🎛️ PANEL DE CONTROL'!B29, "A",
                            IF(P31&gt;='🎛️ PANEL DE CONTROL'!B30, "A-",
                            IF(P31&gt;='🎛️ PANEL DE CONTROL'!B31, "B+",
                            IF(P31&gt;='🎛️ PANEL DE CONTROL'!B32, "B",
                            IF(P31&gt;='🎛️ PANEL DE CONTROL'!B33, "B-",
                            IF(P31&gt;='🎛️ PANEL DE CONTROL'!B34, "C+",
                            IF(P31&gt;='🎛️ PANEL DE CONTROL'!B35, "C",
                            IF(P31&gt;='🎛️ PANEL DE CONTROL'!B36, "C-",
                            IF(P31&gt;='🎛️ PANEL DE CONTROL'!B37, "D", "F"))))))))))</f>
        <v/>
      </c>
      <c r="R31">
        <f>P31-'📊 Datos Originales'!I31</f>
        <v/>
      </c>
    </row>
    <row r="32">
      <c r="A32">
        <f>'📊 Datos Originales'!A32</f>
        <v/>
      </c>
      <c r="B32">
        <f>'📊 Datos Originales'!B32</f>
        <v/>
      </c>
      <c r="C32">
        <f>'📊 Datos Originales'!C32</f>
        <v/>
      </c>
      <c r="D32">
        <f>'📊 Datos Originales'!D32</f>
        <v/>
      </c>
      <c r="E32">
        <f>'📊 Datos Originales'!E32</f>
        <v/>
      </c>
      <c r="F32">
        <f>(C32/600)*'🎛️ PANEL DE CONTROL'!B6</f>
        <v/>
      </c>
      <c r="G32">
        <f>(D32/150)*'🎛️ PANEL DE CONTROL'!B7</f>
        <v/>
      </c>
      <c r="H32">
        <f>(E32/250)*'🎛️ PANEL DE CONTROL'!B8</f>
        <v/>
      </c>
      <c r="I32">
        <f>F32+G32+H32</f>
        <v/>
      </c>
      <c r="J32">
        <f>=IF('📊 Datos Originales'!L32&gt;30, '🎛️ PANEL DE CONTROL'!B13, 0)+=IF('📊 Datos Originales'!N32&gt;80, '🎛️ PANEL DE CONTROL'!B15, 0)</f>
        <v/>
      </c>
      <c r="K32">
        <f>=IF('📊 Datos Originales'!M32&lt;10, '🎛️ PANEL DE CONTROL'!B14, 0)+=IF('📊 Datos Originales'!O32&gt;24, '🎛️ PANEL DE CONTROL'!B16, 0)</f>
        <v/>
      </c>
      <c r="L32">
        <f>MAX(0, MIN(1000, I32-J32+K32))</f>
        <v/>
      </c>
      <c r="M32">
        <f>'📊 Datos Originales'!H32</f>
        <v/>
      </c>
      <c r="N32" s="6">
        <f>IF('📊 Datos Originales'!P32="muy_nuevo", '🎛️ PANEL DE CONTROL'!B20,
                            IF('📊 Datos Originales'!P32="nuevo", '🎛️ PANEL DE CONTROL'!B21,
                            IF('📊 Datos Originales'!P32="intermedio", '🎛️ PANEL DE CONTROL'!B22,
                            IF('📊 Datos Originales'!P32="establecido", '🎛️ PANEL DE CONTROL'!B23,
                            '🎛️ PANEL DE CONTROL'!B24))))</f>
        <v/>
      </c>
      <c r="O32" s="6">
        <f>1-N32</f>
        <v/>
      </c>
      <c r="P32">
        <f>(L32*N32)+(M32*O32)</f>
        <v/>
      </c>
      <c r="Q32">
        <f>IF(P32&gt;='🎛️ PANEL DE CONTROL'!B28, "A+",
                            IF(P32&gt;='🎛️ PANEL DE CONTROL'!B29, "A",
                            IF(P32&gt;='🎛️ PANEL DE CONTROL'!B30, "A-",
                            IF(P32&gt;='🎛️ PANEL DE CONTROL'!B31, "B+",
                            IF(P32&gt;='🎛️ PANEL DE CONTROL'!B32, "B",
                            IF(P32&gt;='🎛️ PANEL DE CONTROL'!B33, "B-",
                            IF(P32&gt;='🎛️ PANEL DE CONTROL'!B34, "C+",
                            IF(P32&gt;='🎛️ PANEL DE CONTROL'!B35, "C",
                            IF(P32&gt;='🎛️ PANEL DE CONTROL'!B36, "C-",
                            IF(P32&gt;='🎛️ PANEL DE CONTROL'!B37, "D", "F"))))))))))</f>
        <v/>
      </c>
      <c r="R32">
        <f>P32-'📊 Datos Originales'!I32</f>
        <v/>
      </c>
    </row>
    <row r="33">
      <c r="A33">
        <f>'📊 Datos Originales'!A33</f>
        <v/>
      </c>
      <c r="B33">
        <f>'📊 Datos Originales'!B33</f>
        <v/>
      </c>
      <c r="C33">
        <f>'📊 Datos Originales'!C33</f>
        <v/>
      </c>
      <c r="D33">
        <f>'📊 Datos Originales'!D33</f>
        <v/>
      </c>
      <c r="E33">
        <f>'📊 Datos Originales'!E33</f>
        <v/>
      </c>
      <c r="F33">
        <f>(C33/600)*'🎛️ PANEL DE CONTROL'!B6</f>
        <v/>
      </c>
      <c r="G33">
        <f>(D33/150)*'🎛️ PANEL DE CONTROL'!B7</f>
        <v/>
      </c>
      <c r="H33">
        <f>(E33/250)*'🎛️ PANEL DE CONTROL'!B8</f>
        <v/>
      </c>
      <c r="I33">
        <f>F33+G33+H33</f>
        <v/>
      </c>
      <c r="J33">
        <f>=IF('📊 Datos Originales'!L33&gt;30, '🎛️ PANEL DE CONTROL'!B13, 0)+=IF('📊 Datos Originales'!N33&gt;80, '🎛️ PANEL DE CONTROL'!B15, 0)</f>
        <v/>
      </c>
      <c r="K33">
        <f>=IF('📊 Datos Originales'!M33&lt;10, '🎛️ PANEL DE CONTROL'!B14, 0)+=IF('📊 Datos Originales'!O33&gt;24, '🎛️ PANEL DE CONTROL'!B16, 0)</f>
        <v/>
      </c>
      <c r="L33">
        <f>MAX(0, MIN(1000, I33-J33+K33))</f>
        <v/>
      </c>
      <c r="M33">
        <f>'📊 Datos Originales'!H33</f>
        <v/>
      </c>
      <c r="N33" s="6">
        <f>IF('📊 Datos Originales'!P33="muy_nuevo", '🎛️ PANEL DE CONTROL'!B20,
                            IF('📊 Datos Originales'!P33="nuevo", '🎛️ PANEL DE CONTROL'!B21,
                            IF('📊 Datos Originales'!P33="intermedio", '🎛️ PANEL DE CONTROL'!B22,
                            IF('📊 Datos Originales'!P33="establecido", '🎛️ PANEL DE CONTROL'!B23,
                            '🎛️ PANEL DE CONTROL'!B24))))</f>
        <v/>
      </c>
      <c r="O33" s="6">
        <f>1-N33</f>
        <v/>
      </c>
      <c r="P33">
        <f>(L33*N33)+(M33*O33)</f>
        <v/>
      </c>
      <c r="Q33">
        <f>IF(P33&gt;='🎛️ PANEL DE CONTROL'!B28, "A+",
                            IF(P33&gt;='🎛️ PANEL DE CONTROL'!B29, "A",
                            IF(P33&gt;='🎛️ PANEL DE CONTROL'!B30, "A-",
                            IF(P33&gt;='🎛️ PANEL DE CONTROL'!B31, "B+",
                            IF(P33&gt;='🎛️ PANEL DE CONTROL'!B32, "B",
                            IF(P33&gt;='🎛️ PANEL DE CONTROL'!B33, "B-",
                            IF(P33&gt;='🎛️ PANEL DE CONTROL'!B34, "C+",
                            IF(P33&gt;='🎛️ PANEL DE CONTROL'!B35, "C",
                            IF(P33&gt;='🎛️ PANEL DE CONTROL'!B36, "C-",
                            IF(P33&gt;='🎛️ PANEL DE CONTROL'!B37, "D", "F"))))))))))</f>
        <v/>
      </c>
      <c r="R33">
        <f>P33-'📊 Datos Originales'!I33</f>
        <v/>
      </c>
    </row>
    <row r="34">
      <c r="A34">
        <f>'📊 Datos Originales'!A34</f>
        <v/>
      </c>
      <c r="B34">
        <f>'📊 Datos Originales'!B34</f>
        <v/>
      </c>
      <c r="C34">
        <f>'📊 Datos Originales'!C34</f>
        <v/>
      </c>
      <c r="D34">
        <f>'📊 Datos Originales'!D34</f>
        <v/>
      </c>
      <c r="E34">
        <f>'📊 Datos Originales'!E34</f>
        <v/>
      </c>
      <c r="F34">
        <f>(C34/600)*'🎛️ PANEL DE CONTROL'!B6</f>
        <v/>
      </c>
      <c r="G34">
        <f>(D34/150)*'🎛️ PANEL DE CONTROL'!B7</f>
        <v/>
      </c>
      <c r="H34">
        <f>(E34/250)*'🎛️ PANEL DE CONTROL'!B8</f>
        <v/>
      </c>
      <c r="I34">
        <f>F34+G34+H34</f>
        <v/>
      </c>
      <c r="J34">
        <f>=IF('📊 Datos Originales'!L34&gt;30, '🎛️ PANEL DE CONTROL'!B13, 0)+=IF('📊 Datos Originales'!N34&gt;80, '🎛️ PANEL DE CONTROL'!B15, 0)</f>
        <v/>
      </c>
      <c r="K34">
        <f>=IF('📊 Datos Originales'!M34&lt;10, '🎛️ PANEL DE CONTROL'!B14, 0)+=IF('📊 Datos Originales'!O34&gt;24, '🎛️ PANEL DE CONTROL'!B16, 0)</f>
        <v/>
      </c>
      <c r="L34">
        <f>MAX(0, MIN(1000, I34-J34+K34))</f>
        <v/>
      </c>
      <c r="M34">
        <f>'📊 Datos Originales'!H34</f>
        <v/>
      </c>
      <c r="N34" s="6">
        <f>IF('📊 Datos Originales'!P34="muy_nuevo", '🎛️ PANEL DE CONTROL'!B20,
                            IF('📊 Datos Originales'!P34="nuevo", '🎛️ PANEL DE CONTROL'!B21,
                            IF('📊 Datos Originales'!P34="intermedio", '🎛️ PANEL DE CONTROL'!B22,
                            IF('📊 Datos Originales'!P34="establecido", '🎛️ PANEL DE CONTROL'!B23,
                            '🎛️ PANEL DE CONTROL'!B24))))</f>
        <v/>
      </c>
      <c r="O34" s="6">
        <f>1-N34</f>
        <v/>
      </c>
      <c r="P34">
        <f>(L34*N34)+(M34*O34)</f>
        <v/>
      </c>
      <c r="Q34">
        <f>IF(P34&gt;='🎛️ PANEL DE CONTROL'!B28, "A+",
                            IF(P34&gt;='🎛️ PANEL DE CONTROL'!B29, "A",
                            IF(P34&gt;='🎛️ PANEL DE CONTROL'!B30, "A-",
                            IF(P34&gt;='🎛️ PANEL DE CONTROL'!B31, "B+",
                            IF(P34&gt;='🎛️ PANEL DE CONTROL'!B32, "B",
                            IF(P34&gt;='🎛️ PANEL DE CONTROL'!B33, "B-",
                            IF(P34&gt;='🎛️ PANEL DE CONTROL'!B34, "C+",
                            IF(P34&gt;='🎛️ PANEL DE CONTROL'!B35, "C",
                            IF(P34&gt;='🎛️ PANEL DE CONTROL'!B36, "C-",
                            IF(P34&gt;='🎛️ PANEL DE CONTROL'!B37, "D", "F"))))))))))</f>
        <v/>
      </c>
      <c r="R34">
        <f>P34-'📊 Datos Originales'!I34</f>
        <v/>
      </c>
    </row>
    <row r="35">
      <c r="A35">
        <f>'📊 Datos Originales'!A35</f>
        <v/>
      </c>
      <c r="B35">
        <f>'📊 Datos Originales'!B35</f>
        <v/>
      </c>
      <c r="C35">
        <f>'📊 Datos Originales'!C35</f>
        <v/>
      </c>
      <c r="D35">
        <f>'📊 Datos Originales'!D35</f>
        <v/>
      </c>
      <c r="E35">
        <f>'📊 Datos Originales'!E35</f>
        <v/>
      </c>
      <c r="F35">
        <f>(C35/600)*'🎛️ PANEL DE CONTROL'!B6</f>
        <v/>
      </c>
      <c r="G35">
        <f>(D35/150)*'🎛️ PANEL DE CONTROL'!B7</f>
        <v/>
      </c>
      <c r="H35">
        <f>(E35/250)*'🎛️ PANEL DE CONTROL'!B8</f>
        <v/>
      </c>
      <c r="I35">
        <f>F35+G35+H35</f>
        <v/>
      </c>
      <c r="J35">
        <f>=IF('📊 Datos Originales'!L35&gt;30, '🎛️ PANEL DE CONTROL'!B13, 0)+=IF('📊 Datos Originales'!N35&gt;80, '🎛️ PANEL DE CONTROL'!B15, 0)</f>
        <v/>
      </c>
      <c r="K35">
        <f>=IF('📊 Datos Originales'!M35&lt;10, '🎛️ PANEL DE CONTROL'!B14, 0)+=IF('📊 Datos Originales'!O35&gt;24, '🎛️ PANEL DE CONTROL'!B16, 0)</f>
        <v/>
      </c>
      <c r="L35">
        <f>MAX(0, MIN(1000, I35-J35+K35))</f>
        <v/>
      </c>
      <c r="M35">
        <f>'📊 Datos Originales'!H35</f>
        <v/>
      </c>
      <c r="N35" s="6">
        <f>IF('📊 Datos Originales'!P35="muy_nuevo", '🎛️ PANEL DE CONTROL'!B20,
                            IF('📊 Datos Originales'!P35="nuevo", '🎛️ PANEL DE CONTROL'!B21,
                            IF('📊 Datos Originales'!P35="intermedio", '🎛️ PANEL DE CONTROL'!B22,
                            IF('📊 Datos Originales'!P35="establecido", '🎛️ PANEL DE CONTROL'!B23,
                            '🎛️ PANEL DE CONTROL'!B24))))</f>
        <v/>
      </c>
      <c r="O35" s="6">
        <f>1-N35</f>
        <v/>
      </c>
      <c r="P35">
        <f>(L35*N35)+(M35*O35)</f>
        <v/>
      </c>
      <c r="Q35">
        <f>IF(P35&gt;='🎛️ PANEL DE CONTROL'!B28, "A+",
                            IF(P35&gt;='🎛️ PANEL DE CONTROL'!B29, "A",
                            IF(P35&gt;='🎛️ PANEL DE CONTROL'!B30, "A-",
                            IF(P35&gt;='🎛️ PANEL DE CONTROL'!B31, "B+",
                            IF(P35&gt;='🎛️ PANEL DE CONTROL'!B32, "B",
                            IF(P35&gt;='🎛️ PANEL DE CONTROL'!B33, "B-",
                            IF(P35&gt;='🎛️ PANEL DE CONTROL'!B34, "C+",
                            IF(P35&gt;='🎛️ PANEL DE CONTROL'!B35, "C",
                            IF(P35&gt;='🎛️ PANEL DE CONTROL'!B36, "C-",
                            IF(P35&gt;='🎛️ PANEL DE CONTROL'!B37, "D", "F"))))))))))</f>
        <v/>
      </c>
      <c r="R35">
        <f>P35-'📊 Datos Originales'!I35</f>
        <v/>
      </c>
    </row>
    <row r="36">
      <c r="A36">
        <f>'📊 Datos Originales'!A36</f>
        <v/>
      </c>
      <c r="B36">
        <f>'📊 Datos Originales'!B36</f>
        <v/>
      </c>
      <c r="C36">
        <f>'📊 Datos Originales'!C36</f>
        <v/>
      </c>
      <c r="D36">
        <f>'📊 Datos Originales'!D36</f>
        <v/>
      </c>
      <c r="E36">
        <f>'📊 Datos Originales'!E36</f>
        <v/>
      </c>
      <c r="F36">
        <f>(C36/600)*'🎛️ PANEL DE CONTROL'!B6</f>
        <v/>
      </c>
      <c r="G36">
        <f>(D36/150)*'🎛️ PANEL DE CONTROL'!B7</f>
        <v/>
      </c>
      <c r="H36">
        <f>(E36/250)*'🎛️ PANEL DE CONTROL'!B8</f>
        <v/>
      </c>
      <c r="I36">
        <f>F36+G36+H36</f>
        <v/>
      </c>
      <c r="J36">
        <f>=IF('📊 Datos Originales'!L36&gt;30, '🎛️ PANEL DE CONTROL'!B13, 0)+=IF('📊 Datos Originales'!N36&gt;80, '🎛️ PANEL DE CONTROL'!B15, 0)</f>
        <v/>
      </c>
      <c r="K36">
        <f>=IF('📊 Datos Originales'!M36&lt;10, '🎛️ PANEL DE CONTROL'!B14, 0)+=IF('📊 Datos Originales'!O36&gt;24, '🎛️ PANEL DE CONTROL'!B16, 0)</f>
        <v/>
      </c>
      <c r="L36">
        <f>MAX(0, MIN(1000, I36-J36+K36))</f>
        <v/>
      </c>
      <c r="M36">
        <f>'📊 Datos Originales'!H36</f>
        <v/>
      </c>
      <c r="N36" s="6">
        <f>IF('📊 Datos Originales'!P36="muy_nuevo", '🎛️ PANEL DE CONTROL'!B20,
                            IF('📊 Datos Originales'!P36="nuevo", '🎛️ PANEL DE CONTROL'!B21,
                            IF('📊 Datos Originales'!P36="intermedio", '🎛️ PANEL DE CONTROL'!B22,
                            IF('📊 Datos Originales'!P36="establecido", '🎛️ PANEL DE CONTROL'!B23,
                            '🎛️ PANEL DE CONTROL'!B24))))</f>
        <v/>
      </c>
      <c r="O36" s="6">
        <f>1-N36</f>
        <v/>
      </c>
      <c r="P36">
        <f>(L36*N36)+(M36*O36)</f>
        <v/>
      </c>
      <c r="Q36">
        <f>IF(P36&gt;='🎛️ PANEL DE CONTROL'!B28, "A+",
                            IF(P36&gt;='🎛️ PANEL DE CONTROL'!B29, "A",
                            IF(P36&gt;='🎛️ PANEL DE CONTROL'!B30, "A-",
                            IF(P36&gt;='🎛️ PANEL DE CONTROL'!B31, "B+",
                            IF(P36&gt;='🎛️ PANEL DE CONTROL'!B32, "B",
                            IF(P36&gt;='🎛️ PANEL DE CONTROL'!B33, "B-",
                            IF(P36&gt;='🎛️ PANEL DE CONTROL'!B34, "C+",
                            IF(P36&gt;='🎛️ PANEL DE CONTROL'!B35, "C",
                            IF(P36&gt;='🎛️ PANEL DE CONTROL'!B36, "C-",
                            IF(P36&gt;='🎛️ PANEL DE CONTROL'!B37, "D", "F"))))))))))</f>
        <v/>
      </c>
      <c r="R36">
        <f>P36-'📊 Datos Originales'!I36</f>
        <v/>
      </c>
    </row>
    <row r="37">
      <c r="A37">
        <f>'📊 Datos Originales'!A37</f>
        <v/>
      </c>
      <c r="B37">
        <f>'📊 Datos Originales'!B37</f>
        <v/>
      </c>
      <c r="C37">
        <f>'📊 Datos Originales'!C37</f>
        <v/>
      </c>
      <c r="D37">
        <f>'📊 Datos Originales'!D37</f>
        <v/>
      </c>
      <c r="E37">
        <f>'📊 Datos Originales'!E37</f>
        <v/>
      </c>
      <c r="F37">
        <f>(C37/600)*'🎛️ PANEL DE CONTROL'!B6</f>
        <v/>
      </c>
      <c r="G37">
        <f>(D37/150)*'🎛️ PANEL DE CONTROL'!B7</f>
        <v/>
      </c>
      <c r="H37">
        <f>(E37/250)*'🎛️ PANEL DE CONTROL'!B8</f>
        <v/>
      </c>
      <c r="I37">
        <f>F37+G37+H37</f>
        <v/>
      </c>
      <c r="J37">
        <f>=IF('📊 Datos Originales'!L37&gt;30, '🎛️ PANEL DE CONTROL'!B13, 0)+=IF('📊 Datos Originales'!N37&gt;80, '🎛️ PANEL DE CONTROL'!B15, 0)</f>
        <v/>
      </c>
      <c r="K37">
        <f>=IF('📊 Datos Originales'!M37&lt;10, '🎛️ PANEL DE CONTROL'!B14, 0)+=IF('📊 Datos Originales'!O37&gt;24, '🎛️ PANEL DE CONTROL'!B16, 0)</f>
        <v/>
      </c>
      <c r="L37">
        <f>MAX(0, MIN(1000, I37-J37+K37))</f>
        <v/>
      </c>
      <c r="M37">
        <f>'📊 Datos Originales'!H37</f>
        <v/>
      </c>
      <c r="N37" s="6">
        <f>IF('📊 Datos Originales'!P37="muy_nuevo", '🎛️ PANEL DE CONTROL'!B20,
                            IF('📊 Datos Originales'!P37="nuevo", '🎛️ PANEL DE CONTROL'!B21,
                            IF('📊 Datos Originales'!P37="intermedio", '🎛️ PANEL DE CONTROL'!B22,
                            IF('📊 Datos Originales'!P37="establecido", '🎛️ PANEL DE CONTROL'!B23,
                            '🎛️ PANEL DE CONTROL'!B24))))</f>
        <v/>
      </c>
      <c r="O37" s="6">
        <f>1-N37</f>
        <v/>
      </c>
      <c r="P37">
        <f>(L37*N37)+(M37*O37)</f>
        <v/>
      </c>
      <c r="Q37">
        <f>IF(P37&gt;='🎛️ PANEL DE CONTROL'!B28, "A+",
                            IF(P37&gt;='🎛️ PANEL DE CONTROL'!B29, "A",
                            IF(P37&gt;='🎛️ PANEL DE CONTROL'!B30, "A-",
                            IF(P37&gt;='🎛️ PANEL DE CONTROL'!B31, "B+",
                            IF(P37&gt;='🎛️ PANEL DE CONTROL'!B32, "B",
                            IF(P37&gt;='🎛️ PANEL DE CONTROL'!B33, "B-",
                            IF(P37&gt;='🎛️ PANEL DE CONTROL'!B34, "C+",
                            IF(P37&gt;='🎛️ PANEL DE CONTROL'!B35, "C",
                            IF(P37&gt;='🎛️ PANEL DE CONTROL'!B36, "C-",
                            IF(P37&gt;='🎛️ PANEL DE CONTROL'!B37, "D", "F"))))))))))</f>
        <v/>
      </c>
      <c r="R37">
        <f>P37-'📊 Datos Originales'!I37</f>
        <v/>
      </c>
    </row>
    <row r="38">
      <c r="A38">
        <f>'📊 Datos Originales'!A38</f>
        <v/>
      </c>
      <c r="B38">
        <f>'📊 Datos Originales'!B38</f>
        <v/>
      </c>
      <c r="C38">
        <f>'📊 Datos Originales'!C38</f>
        <v/>
      </c>
      <c r="D38">
        <f>'📊 Datos Originales'!D38</f>
        <v/>
      </c>
      <c r="E38">
        <f>'📊 Datos Originales'!E38</f>
        <v/>
      </c>
      <c r="F38">
        <f>(C38/600)*'🎛️ PANEL DE CONTROL'!B6</f>
        <v/>
      </c>
      <c r="G38">
        <f>(D38/150)*'🎛️ PANEL DE CONTROL'!B7</f>
        <v/>
      </c>
      <c r="H38">
        <f>(E38/250)*'🎛️ PANEL DE CONTROL'!B8</f>
        <v/>
      </c>
      <c r="I38">
        <f>F38+G38+H38</f>
        <v/>
      </c>
      <c r="J38">
        <f>=IF('📊 Datos Originales'!L38&gt;30, '🎛️ PANEL DE CONTROL'!B13, 0)+=IF('📊 Datos Originales'!N38&gt;80, '🎛️ PANEL DE CONTROL'!B15, 0)</f>
        <v/>
      </c>
      <c r="K38">
        <f>=IF('📊 Datos Originales'!M38&lt;10, '🎛️ PANEL DE CONTROL'!B14, 0)+=IF('📊 Datos Originales'!O38&gt;24, '🎛️ PANEL DE CONTROL'!B16, 0)</f>
        <v/>
      </c>
      <c r="L38">
        <f>MAX(0, MIN(1000, I38-J38+K38))</f>
        <v/>
      </c>
      <c r="M38">
        <f>'📊 Datos Originales'!H38</f>
        <v/>
      </c>
      <c r="N38" s="6">
        <f>IF('📊 Datos Originales'!P38="muy_nuevo", '🎛️ PANEL DE CONTROL'!B20,
                            IF('📊 Datos Originales'!P38="nuevo", '🎛️ PANEL DE CONTROL'!B21,
                            IF('📊 Datos Originales'!P38="intermedio", '🎛️ PANEL DE CONTROL'!B22,
                            IF('📊 Datos Originales'!P38="establecido", '🎛️ PANEL DE CONTROL'!B23,
                            '🎛️ PANEL DE CONTROL'!B24))))</f>
        <v/>
      </c>
      <c r="O38" s="6">
        <f>1-N38</f>
        <v/>
      </c>
      <c r="P38">
        <f>(L38*N38)+(M38*O38)</f>
        <v/>
      </c>
      <c r="Q38">
        <f>IF(P38&gt;='🎛️ PANEL DE CONTROL'!B28, "A+",
                            IF(P38&gt;='🎛️ PANEL DE CONTROL'!B29, "A",
                            IF(P38&gt;='🎛️ PANEL DE CONTROL'!B30, "A-",
                            IF(P38&gt;='🎛️ PANEL DE CONTROL'!B31, "B+",
                            IF(P38&gt;='🎛️ PANEL DE CONTROL'!B32, "B",
                            IF(P38&gt;='🎛️ PANEL DE CONTROL'!B33, "B-",
                            IF(P38&gt;='🎛️ PANEL DE CONTROL'!B34, "C+",
                            IF(P38&gt;='🎛️ PANEL DE CONTROL'!B35, "C",
                            IF(P38&gt;='🎛️ PANEL DE CONTROL'!B36, "C-",
                            IF(P38&gt;='🎛️ PANEL DE CONTROL'!B37, "D", "F"))))))))))</f>
        <v/>
      </c>
      <c r="R38">
        <f>P38-'📊 Datos Originales'!I38</f>
        <v/>
      </c>
    </row>
    <row r="39">
      <c r="A39">
        <f>'📊 Datos Originales'!A39</f>
        <v/>
      </c>
      <c r="B39">
        <f>'📊 Datos Originales'!B39</f>
        <v/>
      </c>
      <c r="C39">
        <f>'📊 Datos Originales'!C39</f>
        <v/>
      </c>
      <c r="D39">
        <f>'📊 Datos Originales'!D39</f>
        <v/>
      </c>
      <c r="E39">
        <f>'📊 Datos Originales'!E39</f>
        <v/>
      </c>
      <c r="F39">
        <f>(C39/600)*'🎛️ PANEL DE CONTROL'!B6</f>
        <v/>
      </c>
      <c r="G39">
        <f>(D39/150)*'🎛️ PANEL DE CONTROL'!B7</f>
        <v/>
      </c>
      <c r="H39">
        <f>(E39/250)*'🎛️ PANEL DE CONTROL'!B8</f>
        <v/>
      </c>
      <c r="I39">
        <f>F39+G39+H39</f>
        <v/>
      </c>
      <c r="J39">
        <f>=IF('📊 Datos Originales'!L39&gt;30, '🎛️ PANEL DE CONTROL'!B13, 0)+=IF('📊 Datos Originales'!N39&gt;80, '🎛️ PANEL DE CONTROL'!B15, 0)</f>
        <v/>
      </c>
      <c r="K39">
        <f>=IF('📊 Datos Originales'!M39&lt;10, '🎛️ PANEL DE CONTROL'!B14, 0)+=IF('📊 Datos Originales'!O39&gt;24, '🎛️ PANEL DE CONTROL'!B16, 0)</f>
        <v/>
      </c>
      <c r="L39">
        <f>MAX(0, MIN(1000, I39-J39+K39))</f>
        <v/>
      </c>
      <c r="M39">
        <f>'📊 Datos Originales'!H39</f>
        <v/>
      </c>
      <c r="N39" s="6">
        <f>IF('📊 Datos Originales'!P39="muy_nuevo", '🎛️ PANEL DE CONTROL'!B20,
                            IF('📊 Datos Originales'!P39="nuevo", '🎛️ PANEL DE CONTROL'!B21,
                            IF('📊 Datos Originales'!P39="intermedio", '🎛️ PANEL DE CONTROL'!B22,
                            IF('📊 Datos Originales'!P39="establecido", '🎛️ PANEL DE CONTROL'!B23,
                            '🎛️ PANEL DE CONTROL'!B24))))</f>
        <v/>
      </c>
      <c r="O39" s="6">
        <f>1-N39</f>
        <v/>
      </c>
      <c r="P39">
        <f>(L39*N39)+(M39*O39)</f>
        <v/>
      </c>
      <c r="Q39">
        <f>IF(P39&gt;='🎛️ PANEL DE CONTROL'!B28, "A+",
                            IF(P39&gt;='🎛️ PANEL DE CONTROL'!B29, "A",
                            IF(P39&gt;='🎛️ PANEL DE CONTROL'!B30, "A-",
                            IF(P39&gt;='🎛️ PANEL DE CONTROL'!B31, "B+",
                            IF(P39&gt;='🎛️ PANEL DE CONTROL'!B32, "B",
                            IF(P39&gt;='🎛️ PANEL DE CONTROL'!B33, "B-",
                            IF(P39&gt;='🎛️ PANEL DE CONTROL'!B34, "C+",
                            IF(P39&gt;='🎛️ PANEL DE CONTROL'!B35, "C",
                            IF(P39&gt;='🎛️ PANEL DE CONTROL'!B36, "C-",
                            IF(P39&gt;='🎛️ PANEL DE CONTROL'!B37, "D", "F"))))))))))</f>
        <v/>
      </c>
      <c r="R39">
        <f>P39-'📊 Datos Originales'!I39</f>
        <v/>
      </c>
    </row>
    <row r="40">
      <c r="A40">
        <f>'📊 Datos Originales'!A40</f>
        <v/>
      </c>
      <c r="B40">
        <f>'📊 Datos Originales'!B40</f>
        <v/>
      </c>
      <c r="C40">
        <f>'📊 Datos Originales'!C40</f>
        <v/>
      </c>
      <c r="D40">
        <f>'📊 Datos Originales'!D40</f>
        <v/>
      </c>
      <c r="E40">
        <f>'📊 Datos Originales'!E40</f>
        <v/>
      </c>
      <c r="F40">
        <f>(C40/600)*'🎛️ PANEL DE CONTROL'!B6</f>
        <v/>
      </c>
      <c r="G40">
        <f>(D40/150)*'🎛️ PANEL DE CONTROL'!B7</f>
        <v/>
      </c>
      <c r="H40">
        <f>(E40/250)*'🎛️ PANEL DE CONTROL'!B8</f>
        <v/>
      </c>
      <c r="I40">
        <f>F40+G40+H40</f>
        <v/>
      </c>
      <c r="J40">
        <f>=IF('📊 Datos Originales'!L40&gt;30, '🎛️ PANEL DE CONTROL'!B13, 0)+=IF('📊 Datos Originales'!N40&gt;80, '🎛️ PANEL DE CONTROL'!B15, 0)</f>
        <v/>
      </c>
      <c r="K40">
        <f>=IF('📊 Datos Originales'!M40&lt;10, '🎛️ PANEL DE CONTROL'!B14, 0)+=IF('📊 Datos Originales'!O40&gt;24, '🎛️ PANEL DE CONTROL'!B16, 0)</f>
        <v/>
      </c>
      <c r="L40">
        <f>MAX(0, MIN(1000, I40-J40+K40))</f>
        <v/>
      </c>
      <c r="M40">
        <f>'📊 Datos Originales'!H40</f>
        <v/>
      </c>
      <c r="N40" s="6">
        <f>IF('📊 Datos Originales'!P40="muy_nuevo", '🎛️ PANEL DE CONTROL'!B20,
                            IF('📊 Datos Originales'!P40="nuevo", '🎛️ PANEL DE CONTROL'!B21,
                            IF('📊 Datos Originales'!P40="intermedio", '🎛️ PANEL DE CONTROL'!B22,
                            IF('📊 Datos Originales'!P40="establecido", '🎛️ PANEL DE CONTROL'!B23,
                            '🎛️ PANEL DE CONTROL'!B24))))</f>
        <v/>
      </c>
      <c r="O40" s="6">
        <f>1-N40</f>
        <v/>
      </c>
      <c r="P40">
        <f>(L40*N40)+(M40*O40)</f>
        <v/>
      </c>
      <c r="Q40">
        <f>IF(P40&gt;='🎛️ PANEL DE CONTROL'!B28, "A+",
                            IF(P40&gt;='🎛️ PANEL DE CONTROL'!B29, "A",
                            IF(P40&gt;='🎛️ PANEL DE CONTROL'!B30, "A-",
                            IF(P40&gt;='🎛️ PANEL DE CONTROL'!B31, "B+",
                            IF(P40&gt;='🎛️ PANEL DE CONTROL'!B32, "B",
                            IF(P40&gt;='🎛️ PANEL DE CONTROL'!B33, "B-",
                            IF(P40&gt;='🎛️ PANEL DE CONTROL'!B34, "C+",
                            IF(P40&gt;='🎛️ PANEL DE CONTROL'!B35, "C",
                            IF(P40&gt;='🎛️ PANEL DE CONTROL'!B36, "C-",
                            IF(P40&gt;='🎛️ PANEL DE CONTROL'!B37, "D", "F"))))))))))</f>
        <v/>
      </c>
      <c r="R40">
        <f>P40-'📊 Datos Originales'!I40</f>
        <v/>
      </c>
    </row>
    <row r="41">
      <c r="A41">
        <f>'📊 Datos Originales'!A41</f>
        <v/>
      </c>
      <c r="B41">
        <f>'📊 Datos Originales'!B41</f>
        <v/>
      </c>
      <c r="C41">
        <f>'📊 Datos Originales'!C41</f>
        <v/>
      </c>
      <c r="D41">
        <f>'📊 Datos Originales'!D41</f>
        <v/>
      </c>
      <c r="E41">
        <f>'📊 Datos Originales'!E41</f>
        <v/>
      </c>
      <c r="F41">
        <f>(C41/600)*'🎛️ PANEL DE CONTROL'!B6</f>
        <v/>
      </c>
      <c r="G41">
        <f>(D41/150)*'🎛️ PANEL DE CONTROL'!B7</f>
        <v/>
      </c>
      <c r="H41">
        <f>(E41/250)*'🎛️ PANEL DE CONTROL'!B8</f>
        <v/>
      </c>
      <c r="I41">
        <f>F41+G41+H41</f>
        <v/>
      </c>
      <c r="J41">
        <f>=IF('📊 Datos Originales'!L41&gt;30, '🎛️ PANEL DE CONTROL'!B13, 0)+=IF('📊 Datos Originales'!N41&gt;80, '🎛️ PANEL DE CONTROL'!B15, 0)</f>
        <v/>
      </c>
      <c r="K41">
        <f>=IF('📊 Datos Originales'!M41&lt;10, '🎛️ PANEL DE CONTROL'!B14, 0)+=IF('📊 Datos Originales'!O41&gt;24, '🎛️ PANEL DE CONTROL'!B16, 0)</f>
        <v/>
      </c>
      <c r="L41">
        <f>MAX(0, MIN(1000, I41-J41+K41))</f>
        <v/>
      </c>
      <c r="M41">
        <f>'📊 Datos Originales'!H41</f>
        <v/>
      </c>
      <c r="N41" s="6">
        <f>IF('📊 Datos Originales'!P41="muy_nuevo", '🎛️ PANEL DE CONTROL'!B20,
                            IF('📊 Datos Originales'!P41="nuevo", '🎛️ PANEL DE CONTROL'!B21,
                            IF('📊 Datos Originales'!P41="intermedio", '🎛️ PANEL DE CONTROL'!B22,
                            IF('📊 Datos Originales'!P41="establecido", '🎛️ PANEL DE CONTROL'!B23,
                            '🎛️ PANEL DE CONTROL'!B24))))</f>
        <v/>
      </c>
      <c r="O41" s="6">
        <f>1-N41</f>
        <v/>
      </c>
      <c r="P41">
        <f>(L41*N41)+(M41*O41)</f>
        <v/>
      </c>
      <c r="Q41">
        <f>IF(P41&gt;='🎛️ PANEL DE CONTROL'!B28, "A+",
                            IF(P41&gt;='🎛️ PANEL DE CONTROL'!B29, "A",
                            IF(P41&gt;='🎛️ PANEL DE CONTROL'!B30, "A-",
                            IF(P41&gt;='🎛️ PANEL DE CONTROL'!B31, "B+",
                            IF(P41&gt;='🎛️ PANEL DE CONTROL'!B32, "B",
                            IF(P41&gt;='🎛️ PANEL DE CONTROL'!B33, "B-",
                            IF(P41&gt;='🎛️ PANEL DE CONTROL'!B34, "C+",
                            IF(P41&gt;='🎛️ PANEL DE CONTROL'!B35, "C",
                            IF(P41&gt;='🎛️ PANEL DE CONTROL'!B36, "C-",
                            IF(P41&gt;='🎛️ PANEL DE CONTROL'!B37, "D", "F"))))))))))</f>
        <v/>
      </c>
      <c r="R41">
        <f>P41-'📊 Datos Originales'!I41</f>
        <v/>
      </c>
    </row>
    <row r="42">
      <c r="A42">
        <f>'📊 Datos Originales'!A42</f>
        <v/>
      </c>
      <c r="B42">
        <f>'📊 Datos Originales'!B42</f>
        <v/>
      </c>
      <c r="C42">
        <f>'📊 Datos Originales'!C42</f>
        <v/>
      </c>
      <c r="D42">
        <f>'📊 Datos Originales'!D42</f>
        <v/>
      </c>
      <c r="E42">
        <f>'📊 Datos Originales'!E42</f>
        <v/>
      </c>
      <c r="F42">
        <f>(C42/600)*'🎛️ PANEL DE CONTROL'!B6</f>
        <v/>
      </c>
      <c r="G42">
        <f>(D42/150)*'🎛️ PANEL DE CONTROL'!B7</f>
        <v/>
      </c>
      <c r="H42">
        <f>(E42/250)*'🎛️ PANEL DE CONTROL'!B8</f>
        <v/>
      </c>
      <c r="I42">
        <f>F42+G42+H42</f>
        <v/>
      </c>
      <c r="J42">
        <f>=IF('📊 Datos Originales'!L42&gt;30, '🎛️ PANEL DE CONTROL'!B13, 0)+=IF('📊 Datos Originales'!N42&gt;80, '🎛️ PANEL DE CONTROL'!B15, 0)</f>
        <v/>
      </c>
      <c r="K42">
        <f>=IF('📊 Datos Originales'!M42&lt;10, '🎛️ PANEL DE CONTROL'!B14, 0)+=IF('📊 Datos Originales'!O42&gt;24, '🎛️ PANEL DE CONTROL'!B16, 0)</f>
        <v/>
      </c>
      <c r="L42">
        <f>MAX(0, MIN(1000, I42-J42+K42))</f>
        <v/>
      </c>
      <c r="M42">
        <f>'📊 Datos Originales'!H42</f>
        <v/>
      </c>
      <c r="N42" s="6">
        <f>IF('📊 Datos Originales'!P42="muy_nuevo", '🎛️ PANEL DE CONTROL'!B20,
                            IF('📊 Datos Originales'!P42="nuevo", '🎛️ PANEL DE CONTROL'!B21,
                            IF('📊 Datos Originales'!P42="intermedio", '🎛️ PANEL DE CONTROL'!B22,
                            IF('📊 Datos Originales'!P42="establecido", '🎛️ PANEL DE CONTROL'!B23,
                            '🎛️ PANEL DE CONTROL'!B24))))</f>
        <v/>
      </c>
      <c r="O42" s="6">
        <f>1-N42</f>
        <v/>
      </c>
      <c r="P42">
        <f>(L42*N42)+(M42*O42)</f>
        <v/>
      </c>
      <c r="Q42">
        <f>IF(P42&gt;='🎛️ PANEL DE CONTROL'!B28, "A+",
                            IF(P42&gt;='🎛️ PANEL DE CONTROL'!B29, "A",
                            IF(P42&gt;='🎛️ PANEL DE CONTROL'!B30, "A-",
                            IF(P42&gt;='🎛️ PANEL DE CONTROL'!B31, "B+",
                            IF(P42&gt;='🎛️ PANEL DE CONTROL'!B32, "B",
                            IF(P42&gt;='🎛️ PANEL DE CONTROL'!B33, "B-",
                            IF(P42&gt;='🎛️ PANEL DE CONTROL'!B34, "C+",
                            IF(P42&gt;='🎛️ PANEL DE CONTROL'!B35, "C",
                            IF(P42&gt;='🎛️ PANEL DE CONTROL'!B36, "C-",
                            IF(P42&gt;='🎛️ PANEL DE CONTROL'!B37, "D", "F"))))))))))</f>
        <v/>
      </c>
      <c r="R42">
        <f>P42-'📊 Datos Originales'!I42</f>
        <v/>
      </c>
    </row>
    <row r="43">
      <c r="A43">
        <f>'📊 Datos Originales'!A43</f>
        <v/>
      </c>
      <c r="B43">
        <f>'📊 Datos Originales'!B43</f>
        <v/>
      </c>
      <c r="C43">
        <f>'📊 Datos Originales'!C43</f>
        <v/>
      </c>
      <c r="D43">
        <f>'📊 Datos Originales'!D43</f>
        <v/>
      </c>
      <c r="E43">
        <f>'📊 Datos Originales'!E43</f>
        <v/>
      </c>
      <c r="F43">
        <f>(C43/600)*'🎛️ PANEL DE CONTROL'!B6</f>
        <v/>
      </c>
      <c r="G43">
        <f>(D43/150)*'🎛️ PANEL DE CONTROL'!B7</f>
        <v/>
      </c>
      <c r="H43">
        <f>(E43/250)*'🎛️ PANEL DE CONTROL'!B8</f>
        <v/>
      </c>
      <c r="I43">
        <f>F43+G43+H43</f>
        <v/>
      </c>
      <c r="J43">
        <f>=IF('📊 Datos Originales'!L43&gt;30, '🎛️ PANEL DE CONTROL'!B13, 0)+=IF('📊 Datos Originales'!N43&gt;80, '🎛️ PANEL DE CONTROL'!B15, 0)</f>
        <v/>
      </c>
      <c r="K43">
        <f>=IF('📊 Datos Originales'!M43&lt;10, '🎛️ PANEL DE CONTROL'!B14, 0)+=IF('📊 Datos Originales'!O43&gt;24, '🎛️ PANEL DE CONTROL'!B16, 0)</f>
        <v/>
      </c>
      <c r="L43">
        <f>MAX(0, MIN(1000, I43-J43+K43))</f>
        <v/>
      </c>
      <c r="M43">
        <f>'📊 Datos Originales'!H43</f>
        <v/>
      </c>
      <c r="N43" s="6">
        <f>IF('📊 Datos Originales'!P43="muy_nuevo", '🎛️ PANEL DE CONTROL'!B20,
                            IF('📊 Datos Originales'!P43="nuevo", '🎛️ PANEL DE CONTROL'!B21,
                            IF('📊 Datos Originales'!P43="intermedio", '🎛️ PANEL DE CONTROL'!B22,
                            IF('📊 Datos Originales'!P43="establecido", '🎛️ PANEL DE CONTROL'!B23,
                            '🎛️ PANEL DE CONTROL'!B24))))</f>
        <v/>
      </c>
      <c r="O43" s="6">
        <f>1-N43</f>
        <v/>
      </c>
      <c r="P43">
        <f>(L43*N43)+(M43*O43)</f>
        <v/>
      </c>
      <c r="Q43">
        <f>IF(P43&gt;='🎛️ PANEL DE CONTROL'!B28, "A+",
                            IF(P43&gt;='🎛️ PANEL DE CONTROL'!B29, "A",
                            IF(P43&gt;='🎛️ PANEL DE CONTROL'!B30, "A-",
                            IF(P43&gt;='🎛️ PANEL DE CONTROL'!B31, "B+",
                            IF(P43&gt;='🎛️ PANEL DE CONTROL'!B32, "B",
                            IF(P43&gt;='🎛️ PANEL DE CONTROL'!B33, "B-",
                            IF(P43&gt;='🎛️ PANEL DE CONTROL'!B34, "C+",
                            IF(P43&gt;='🎛️ PANEL DE CONTROL'!B35, "C",
                            IF(P43&gt;='🎛️ PANEL DE CONTROL'!B36, "C-",
                            IF(P43&gt;='🎛️ PANEL DE CONTROL'!B37, "D", "F"))))))))))</f>
        <v/>
      </c>
      <c r="R43">
        <f>P43-'📊 Datos Originales'!I43</f>
        <v/>
      </c>
    </row>
    <row r="44">
      <c r="A44">
        <f>'📊 Datos Originales'!A44</f>
        <v/>
      </c>
      <c r="B44">
        <f>'📊 Datos Originales'!B44</f>
        <v/>
      </c>
      <c r="C44">
        <f>'📊 Datos Originales'!C44</f>
        <v/>
      </c>
      <c r="D44">
        <f>'📊 Datos Originales'!D44</f>
        <v/>
      </c>
      <c r="E44">
        <f>'📊 Datos Originales'!E44</f>
        <v/>
      </c>
      <c r="F44">
        <f>(C44/600)*'🎛️ PANEL DE CONTROL'!B6</f>
        <v/>
      </c>
      <c r="G44">
        <f>(D44/150)*'🎛️ PANEL DE CONTROL'!B7</f>
        <v/>
      </c>
      <c r="H44">
        <f>(E44/250)*'🎛️ PANEL DE CONTROL'!B8</f>
        <v/>
      </c>
      <c r="I44">
        <f>F44+G44+H44</f>
        <v/>
      </c>
      <c r="J44">
        <f>=IF('📊 Datos Originales'!L44&gt;30, '🎛️ PANEL DE CONTROL'!B13, 0)+=IF('📊 Datos Originales'!N44&gt;80, '🎛️ PANEL DE CONTROL'!B15, 0)</f>
        <v/>
      </c>
      <c r="K44">
        <f>=IF('📊 Datos Originales'!M44&lt;10, '🎛️ PANEL DE CONTROL'!B14, 0)+=IF('📊 Datos Originales'!O44&gt;24, '🎛️ PANEL DE CONTROL'!B16, 0)</f>
        <v/>
      </c>
      <c r="L44">
        <f>MAX(0, MIN(1000, I44-J44+K44))</f>
        <v/>
      </c>
      <c r="M44">
        <f>'📊 Datos Originales'!H44</f>
        <v/>
      </c>
      <c r="N44" s="6">
        <f>IF('📊 Datos Originales'!P44="muy_nuevo", '🎛️ PANEL DE CONTROL'!B20,
                            IF('📊 Datos Originales'!P44="nuevo", '🎛️ PANEL DE CONTROL'!B21,
                            IF('📊 Datos Originales'!P44="intermedio", '🎛️ PANEL DE CONTROL'!B22,
                            IF('📊 Datos Originales'!P44="establecido", '🎛️ PANEL DE CONTROL'!B23,
                            '🎛️ PANEL DE CONTROL'!B24))))</f>
        <v/>
      </c>
      <c r="O44" s="6">
        <f>1-N44</f>
        <v/>
      </c>
      <c r="P44">
        <f>(L44*N44)+(M44*O44)</f>
        <v/>
      </c>
      <c r="Q44">
        <f>IF(P44&gt;='🎛️ PANEL DE CONTROL'!B28, "A+",
                            IF(P44&gt;='🎛️ PANEL DE CONTROL'!B29, "A",
                            IF(P44&gt;='🎛️ PANEL DE CONTROL'!B30, "A-",
                            IF(P44&gt;='🎛️ PANEL DE CONTROL'!B31, "B+",
                            IF(P44&gt;='🎛️ PANEL DE CONTROL'!B32, "B",
                            IF(P44&gt;='🎛️ PANEL DE CONTROL'!B33, "B-",
                            IF(P44&gt;='🎛️ PANEL DE CONTROL'!B34, "C+",
                            IF(P44&gt;='🎛️ PANEL DE CONTROL'!B35, "C",
                            IF(P44&gt;='🎛️ PANEL DE CONTROL'!B36, "C-",
                            IF(P44&gt;='🎛️ PANEL DE CONTROL'!B37, "D", "F"))))))))))</f>
        <v/>
      </c>
      <c r="R44">
        <f>P44-'📊 Datos Originales'!I44</f>
        <v/>
      </c>
    </row>
    <row r="45">
      <c r="A45">
        <f>'📊 Datos Originales'!A45</f>
        <v/>
      </c>
      <c r="B45">
        <f>'📊 Datos Originales'!B45</f>
        <v/>
      </c>
      <c r="C45">
        <f>'📊 Datos Originales'!C45</f>
        <v/>
      </c>
      <c r="D45">
        <f>'📊 Datos Originales'!D45</f>
        <v/>
      </c>
      <c r="E45">
        <f>'📊 Datos Originales'!E45</f>
        <v/>
      </c>
      <c r="F45">
        <f>(C45/600)*'🎛️ PANEL DE CONTROL'!B6</f>
        <v/>
      </c>
      <c r="G45">
        <f>(D45/150)*'🎛️ PANEL DE CONTROL'!B7</f>
        <v/>
      </c>
      <c r="H45">
        <f>(E45/250)*'🎛️ PANEL DE CONTROL'!B8</f>
        <v/>
      </c>
      <c r="I45">
        <f>F45+G45+H45</f>
        <v/>
      </c>
      <c r="J45">
        <f>=IF('📊 Datos Originales'!L45&gt;30, '🎛️ PANEL DE CONTROL'!B13, 0)+=IF('📊 Datos Originales'!N45&gt;80, '🎛️ PANEL DE CONTROL'!B15, 0)</f>
        <v/>
      </c>
      <c r="K45">
        <f>=IF('📊 Datos Originales'!M45&lt;10, '🎛️ PANEL DE CONTROL'!B14, 0)+=IF('📊 Datos Originales'!O45&gt;24, '🎛️ PANEL DE CONTROL'!B16, 0)</f>
        <v/>
      </c>
      <c r="L45">
        <f>MAX(0, MIN(1000, I45-J45+K45))</f>
        <v/>
      </c>
      <c r="M45">
        <f>'📊 Datos Originales'!H45</f>
        <v/>
      </c>
      <c r="N45" s="6">
        <f>IF('📊 Datos Originales'!P45="muy_nuevo", '🎛️ PANEL DE CONTROL'!B20,
                            IF('📊 Datos Originales'!P45="nuevo", '🎛️ PANEL DE CONTROL'!B21,
                            IF('📊 Datos Originales'!P45="intermedio", '🎛️ PANEL DE CONTROL'!B22,
                            IF('📊 Datos Originales'!P45="establecido", '🎛️ PANEL DE CONTROL'!B23,
                            '🎛️ PANEL DE CONTROL'!B24))))</f>
        <v/>
      </c>
      <c r="O45" s="6">
        <f>1-N45</f>
        <v/>
      </c>
      <c r="P45">
        <f>(L45*N45)+(M45*O45)</f>
        <v/>
      </c>
      <c r="Q45">
        <f>IF(P45&gt;='🎛️ PANEL DE CONTROL'!B28, "A+",
                            IF(P45&gt;='🎛️ PANEL DE CONTROL'!B29, "A",
                            IF(P45&gt;='🎛️ PANEL DE CONTROL'!B30, "A-",
                            IF(P45&gt;='🎛️ PANEL DE CONTROL'!B31, "B+",
                            IF(P45&gt;='🎛️ PANEL DE CONTROL'!B32, "B",
                            IF(P45&gt;='🎛️ PANEL DE CONTROL'!B33, "B-",
                            IF(P45&gt;='🎛️ PANEL DE CONTROL'!B34, "C+",
                            IF(P45&gt;='🎛️ PANEL DE CONTROL'!B35, "C",
                            IF(P45&gt;='🎛️ PANEL DE CONTROL'!B36, "C-",
                            IF(P45&gt;='🎛️ PANEL DE CONTROL'!B37, "D", "F"))))))))))</f>
        <v/>
      </c>
      <c r="R45">
        <f>P45-'📊 Datos Originales'!I45</f>
        <v/>
      </c>
    </row>
    <row r="46">
      <c r="A46">
        <f>'📊 Datos Originales'!A46</f>
        <v/>
      </c>
      <c r="B46">
        <f>'📊 Datos Originales'!B46</f>
        <v/>
      </c>
      <c r="C46">
        <f>'📊 Datos Originales'!C46</f>
        <v/>
      </c>
      <c r="D46">
        <f>'📊 Datos Originales'!D46</f>
        <v/>
      </c>
      <c r="E46">
        <f>'📊 Datos Originales'!E46</f>
        <v/>
      </c>
      <c r="F46">
        <f>(C46/600)*'🎛️ PANEL DE CONTROL'!B6</f>
        <v/>
      </c>
      <c r="G46">
        <f>(D46/150)*'🎛️ PANEL DE CONTROL'!B7</f>
        <v/>
      </c>
      <c r="H46">
        <f>(E46/250)*'🎛️ PANEL DE CONTROL'!B8</f>
        <v/>
      </c>
      <c r="I46">
        <f>F46+G46+H46</f>
        <v/>
      </c>
      <c r="J46">
        <f>=IF('📊 Datos Originales'!L46&gt;30, '🎛️ PANEL DE CONTROL'!B13, 0)+=IF('📊 Datos Originales'!N46&gt;80, '🎛️ PANEL DE CONTROL'!B15, 0)</f>
        <v/>
      </c>
      <c r="K46">
        <f>=IF('📊 Datos Originales'!M46&lt;10, '🎛️ PANEL DE CONTROL'!B14, 0)+=IF('📊 Datos Originales'!O46&gt;24, '🎛️ PANEL DE CONTROL'!B16, 0)</f>
        <v/>
      </c>
      <c r="L46">
        <f>MAX(0, MIN(1000, I46-J46+K46))</f>
        <v/>
      </c>
      <c r="M46">
        <f>'📊 Datos Originales'!H46</f>
        <v/>
      </c>
      <c r="N46" s="6">
        <f>IF('📊 Datos Originales'!P46="muy_nuevo", '🎛️ PANEL DE CONTROL'!B20,
                            IF('📊 Datos Originales'!P46="nuevo", '🎛️ PANEL DE CONTROL'!B21,
                            IF('📊 Datos Originales'!P46="intermedio", '🎛️ PANEL DE CONTROL'!B22,
                            IF('📊 Datos Originales'!P46="establecido", '🎛️ PANEL DE CONTROL'!B23,
                            '🎛️ PANEL DE CONTROL'!B24))))</f>
        <v/>
      </c>
      <c r="O46" s="6">
        <f>1-N46</f>
        <v/>
      </c>
      <c r="P46">
        <f>(L46*N46)+(M46*O46)</f>
        <v/>
      </c>
      <c r="Q46">
        <f>IF(P46&gt;='🎛️ PANEL DE CONTROL'!B28, "A+",
                            IF(P46&gt;='🎛️ PANEL DE CONTROL'!B29, "A",
                            IF(P46&gt;='🎛️ PANEL DE CONTROL'!B30, "A-",
                            IF(P46&gt;='🎛️ PANEL DE CONTROL'!B31, "B+",
                            IF(P46&gt;='🎛️ PANEL DE CONTROL'!B32, "B",
                            IF(P46&gt;='🎛️ PANEL DE CONTROL'!B33, "B-",
                            IF(P46&gt;='🎛️ PANEL DE CONTROL'!B34, "C+",
                            IF(P46&gt;='🎛️ PANEL DE CONTROL'!B35, "C",
                            IF(P46&gt;='🎛️ PANEL DE CONTROL'!B36, "C-",
                            IF(P46&gt;='🎛️ PANEL DE CONTROL'!B37, "D", "F"))))))))))</f>
        <v/>
      </c>
      <c r="R46">
        <f>P46-'📊 Datos Originales'!I46</f>
        <v/>
      </c>
    </row>
    <row r="47">
      <c r="A47">
        <f>'📊 Datos Originales'!A47</f>
        <v/>
      </c>
      <c r="B47">
        <f>'📊 Datos Originales'!B47</f>
        <v/>
      </c>
      <c r="C47">
        <f>'📊 Datos Originales'!C47</f>
        <v/>
      </c>
      <c r="D47">
        <f>'📊 Datos Originales'!D47</f>
        <v/>
      </c>
      <c r="E47">
        <f>'📊 Datos Originales'!E47</f>
        <v/>
      </c>
      <c r="F47">
        <f>(C47/600)*'🎛️ PANEL DE CONTROL'!B6</f>
        <v/>
      </c>
      <c r="G47">
        <f>(D47/150)*'🎛️ PANEL DE CONTROL'!B7</f>
        <v/>
      </c>
      <c r="H47">
        <f>(E47/250)*'🎛️ PANEL DE CONTROL'!B8</f>
        <v/>
      </c>
      <c r="I47">
        <f>F47+G47+H47</f>
        <v/>
      </c>
      <c r="J47">
        <f>=IF('📊 Datos Originales'!L47&gt;30, '🎛️ PANEL DE CONTROL'!B13, 0)+=IF('📊 Datos Originales'!N47&gt;80, '🎛️ PANEL DE CONTROL'!B15, 0)</f>
        <v/>
      </c>
      <c r="K47">
        <f>=IF('📊 Datos Originales'!M47&lt;10, '🎛️ PANEL DE CONTROL'!B14, 0)+=IF('📊 Datos Originales'!O47&gt;24, '🎛️ PANEL DE CONTROL'!B16, 0)</f>
        <v/>
      </c>
      <c r="L47">
        <f>MAX(0, MIN(1000, I47-J47+K47))</f>
        <v/>
      </c>
      <c r="M47">
        <f>'📊 Datos Originales'!H47</f>
        <v/>
      </c>
      <c r="N47" s="6">
        <f>IF('📊 Datos Originales'!P47="muy_nuevo", '🎛️ PANEL DE CONTROL'!B20,
                            IF('📊 Datos Originales'!P47="nuevo", '🎛️ PANEL DE CONTROL'!B21,
                            IF('📊 Datos Originales'!P47="intermedio", '🎛️ PANEL DE CONTROL'!B22,
                            IF('📊 Datos Originales'!P47="establecido", '🎛️ PANEL DE CONTROL'!B23,
                            '🎛️ PANEL DE CONTROL'!B24))))</f>
        <v/>
      </c>
      <c r="O47" s="6">
        <f>1-N47</f>
        <v/>
      </c>
      <c r="P47">
        <f>(L47*N47)+(M47*O47)</f>
        <v/>
      </c>
      <c r="Q47">
        <f>IF(P47&gt;='🎛️ PANEL DE CONTROL'!B28, "A+",
                            IF(P47&gt;='🎛️ PANEL DE CONTROL'!B29, "A",
                            IF(P47&gt;='🎛️ PANEL DE CONTROL'!B30, "A-",
                            IF(P47&gt;='🎛️ PANEL DE CONTROL'!B31, "B+",
                            IF(P47&gt;='🎛️ PANEL DE CONTROL'!B32, "B",
                            IF(P47&gt;='🎛️ PANEL DE CONTROL'!B33, "B-",
                            IF(P47&gt;='🎛️ PANEL DE CONTROL'!B34, "C+",
                            IF(P47&gt;='🎛️ PANEL DE CONTROL'!B35, "C",
                            IF(P47&gt;='🎛️ PANEL DE CONTROL'!B36, "C-",
                            IF(P47&gt;='🎛️ PANEL DE CONTROL'!B37, "D", "F"))))))))))</f>
        <v/>
      </c>
      <c r="R47">
        <f>P47-'📊 Datos Originales'!I47</f>
        <v/>
      </c>
    </row>
    <row r="48">
      <c r="A48">
        <f>'📊 Datos Originales'!A48</f>
        <v/>
      </c>
      <c r="B48">
        <f>'📊 Datos Originales'!B48</f>
        <v/>
      </c>
      <c r="C48">
        <f>'📊 Datos Originales'!C48</f>
        <v/>
      </c>
      <c r="D48">
        <f>'📊 Datos Originales'!D48</f>
        <v/>
      </c>
      <c r="E48">
        <f>'📊 Datos Originales'!E48</f>
        <v/>
      </c>
      <c r="F48">
        <f>(C48/600)*'🎛️ PANEL DE CONTROL'!B6</f>
        <v/>
      </c>
      <c r="G48">
        <f>(D48/150)*'🎛️ PANEL DE CONTROL'!B7</f>
        <v/>
      </c>
      <c r="H48">
        <f>(E48/250)*'🎛️ PANEL DE CONTROL'!B8</f>
        <v/>
      </c>
      <c r="I48">
        <f>F48+G48+H48</f>
        <v/>
      </c>
      <c r="J48">
        <f>=IF('📊 Datos Originales'!L48&gt;30, '🎛️ PANEL DE CONTROL'!B13, 0)+=IF('📊 Datos Originales'!N48&gt;80, '🎛️ PANEL DE CONTROL'!B15, 0)</f>
        <v/>
      </c>
      <c r="K48">
        <f>=IF('📊 Datos Originales'!M48&lt;10, '🎛️ PANEL DE CONTROL'!B14, 0)+=IF('📊 Datos Originales'!O48&gt;24, '🎛️ PANEL DE CONTROL'!B16, 0)</f>
        <v/>
      </c>
      <c r="L48">
        <f>MAX(0, MIN(1000, I48-J48+K48))</f>
        <v/>
      </c>
      <c r="M48">
        <f>'📊 Datos Originales'!H48</f>
        <v/>
      </c>
      <c r="N48" s="6">
        <f>IF('📊 Datos Originales'!P48="muy_nuevo", '🎛️ PANEL DE CONTROL'!B20,
                            IF('📊 Datos Originales'!P48="nuevo", '🎛️ PANEL DE CONTROL'!B21,
                            IF('📊 Datos Originales'!P48="intermedio", '🎛️ PANEL DE CONTROL'!B22,
                            IF('📊 Datos Originales'!P48="establecido", '🎛️ PANEL DE CONTROL'!B23,
                            '🎛️ PANEL DE CONTROL'!B24))))</f>
        <v/>
      </c>
      <c r="O48" s="6">
        <f>1-N48</f>
        <v/>
      </c>
      <c r="P48">
        <f>(L48*N48)+(M48*O48)</f>
        <v/>
      </c>
      <c r="Q48">
        <f>IF(P48&gt;='🎛️ PANEL DE CONTROL'!B28, "A+",
                            IF(P48&gt;='🎛️ PANEL DE CONTROL'!B29, "A",
                            IF(P48&gt;='🎛️ PANEL DE CONTROL'!B30, "A-",
                            IF(P48&gt;='🎛️ PANEL DE CONTROL'!B31, "B+",
                            IF(P48&gt;='🎛️ PANEL DE CONTROL'!B32, "B",
                            IF(P48&gt;='🎛️ PANEL DE CONTROL'!B33, "B-",
                            IF(P48&gt;='🎛️ PANEL DE CONTROL'!B34, "C+",
                            IF(P48&gt;='🎛️ PANEL DE CONTROL'!B35, "C",
                            IF(P48&gt;='🎛️ PANEL DE CONTROL'!B36, "C-",
                            IF(P48&gt;='🎛️ PANEL DE CONTROL'!B37, "D", "F"))))))))))</f>
        <v/>
      </c>
      <c r="R48">
        <f>P48-'📊 Datos Originales'!I48</f>
        <v/>
      </c>
    </row>
    <row r="49">
      <c r="A49">
        <f>'📊 Datos Originales'!A49</f>
        <v/>
      </c>
      <c r="B49">
        <f>'📊 Datos Originales'!B49</f>
        <v/>
      </c>
      <c r="C49">
        <f>'📊 Datos Originales'!C49</f>
        <v/>
      </c>
      <c r="D49">
        <f>'📊 Datos Originales'!D49</f>
        <v/>
      </c>
      <c r="E49">
        <f>'📊 Datos Originales'!E49</f>
        <v/>
      </c>
      <c r="F49">
        <f>(C49/600)*'🎛️ PANEL DE CONTROL'!B6</f>
        <v/>
      </c>
      <c r="G49">
        <f>(D49/150)*'🎛️ PANEL DE CONTROL'!B7</f>
        <v/>
      </c>
      <c r="H49">
        <f>(E49/250)*'🎛️ PANEL DE CONTROL'!B8</f>
        <v/>
      </c>
      <c r="I49">
        <f>F49+G49+H49</f>
        <v/>
      </c>
      <c r="J49">
        <f>=IF('📊 Datos Originales'!L49&gt;30, '🎛️ PANEL DE CONTROL'!B13, 0)+=IF('📊 Datos Originales'!N49&gt;80, '🎛️ PANEL DE CONTROL'!B15, 0)</f>
        <v/>
      </c>
      <c r="K49">
        <f>=IF('📊 Datos Originales'!M49&lt;10, '🎛️ PANEL DE CONTROL'!B14, 0)+=IF('📊 Datos Originales'!O49&gt;24, '🎛️ PANEL DE CONTROL'!B16, 0)</f>
        <v/>
      </c>
      <c r="L49">
        <f>MAX(0, MIN(1000, I49-J49+K49))</f>
        <v/>
      </c>
      <c r="M49">
        <f>'📊 Datos Originales'!H49</f>
        <v/>
      </c>
      <c r="N49" s="6">
        <f>IF('📊 Datos Originales'!P49="muy_nuevo", '🎛️ PANEL DE CONTROL'!B20,
                            IF('📊 Datos Originales'!P49="nuevo", '🎛️ PANEL DE CONTROL'!B21,
                            IF('📊 Datos Originales'!P49="intermedio", '🎛️ PANEL DE CONTROL'!B22,
                            IF('📊 Datos Originales'!P49="establecido", '🎛️ PANEL DE CONTROL'!B23,
                            '🎛️ PANEL DE CONTROL'!B24))))</f>
        <v/>
      </c>
      <c r="O49" s="6">
        <f>1-N49</f>
        <v/>
      </c>
      <c r="P49">
        <f>(L49*N49)+(M49*O49)</f>
        <v/>
      </c>
      <c r="Q49">
        <f>IF(P49&gt;='🎛️ PANEL DE CONTROL'!B28, "A+",
                            IF(P49&gt;='🎛️ PANEL DE CONTROL'!B29, "A",
                            IF(P49&gt;='🎛️ PANEL DE CONTROL'!B30, "A-",
                            IF(P49&gt;='🎛️ PANEL DE CONTROL'!B31, "B+",
                            IF(P49&gt;='🎛️ PANEL DE CONTROL'!B32, "B",
                            IF(P49&gt;='🎛️ PANEL DE CONTROL'!B33, "B-",
                            IF(P49&gt;='🎛️ PANEL DE CONTROL'!B34, "C+",
                            IF(P49&gt;='🎛️ PANEL DE CONTROL'!B35, "C",
                            IF(P49&gt;='🎛️ PANEL DE CONTROL'!B36, "C-",
                            IF(P49&gt;='🎛️ PANEL DE CONTROL'!B37, "D", "F"))))))))))</f>
        <v/>
      </c>
      <c r="R49">
        <f>P49-'📊 Datos Originales'!I49</f>
        <v/>
      </c>
    </row>
    <row r="50">
      <c r="A50">
        <f>'📊 Datos Originales'!A50</f>
        <v/>
      </c>
      <c r="B50">
        <f>'📊 Datos Originales'!B50</f>
        <v/>
      </c>
      <c r="C50">
        <f>'📊 Datos Originales'!C50</f>
        <v/>
      </c>
      <c r="D50">
        <f>'📊 Datos Originales'!D50</f>
        <v/>
      </c>
      <c r="E50">
        <f>'📊 Datos Originales'!E50</f>
        <v/>
      </c>
      <c r="F50">
        <f>(C50/600)*'🎛️ PANEL DE CONTROL'!B6</f>
        <v/>
      </c>
      <c r="G50">
        <f>(D50/150)*'🎛️ PANEL DE CONTROL'!B7</f>
        <v/>
      </c>
      <c r="H50">
        <f>(E50/250)*'🎛️ PANEL DE CONTROL'!B8</f>
        <v/>
      </c>
      <c r="I50">
        <f>F50+G50+H50</f>
        <v/>
      </c>
      <c r="J50">
        <f>=IF('📊 Datos Originales'!L50&gt;30, '🎛️ PANEL DE CONTROL'!B13, 0)+=IF('📊 Datos Originales'!N50&gt;80, '🎛️ PANEL DE CONTROL'!B15, 0)</f>
        <v/>
      </c>
      <c r="K50">
        <f>=IF('📊 Datos Originales'!M50&lt;10, '🎛️ PANEL DE CONTROL'!B14, 0)+=IF('📊 Datos Originales'!O50&gt;24, '🎛️ PANEL DE CONTROL'!B16, 0)</f>
        <v/>
      </c>
      <c r="L50">
        <f>MAX(0, MIN(1000, I50-J50+K50))</f>
        <v/>
      </c>
      <c r="M50">
        <f>'📊 Datos Originales'!H50</f>
        <v/>
      </c>
      <c r="N50" s="6">
        <f>IF('📊 Datos Originales'!P50="muy_nuevo", '🎛️ PANEL DE CONTROL'!B20,
                            IF('📊 Datos Originales'!P50="nuevo", '🎛️ PANEL DE CONTROL'!B21,
                            IF('📊 Datos Originales'!P50="intermedio", '🎛️ PANEL DE CONTROL'!B22,
                            IF('📊 Datos Originales'!P50="establecido", '🎛️ PANEL DE CONTROL'!B23,
                            '🎛️ PANEL DE CONTROL'!B24))))</f>
        <v/>
      </c>
      <c r="O50" s="6">
        <f>1-N50</f>
        <v/>
      </c>
      <c r="P50">
        <f>(L50*N50)+(M50*O50)</f>
        <v/>
      </c>
      <c r="Q50">
        <f>IF(P50&gt;='🎛️ PANEL DE CONTROL'!B28, "A+",
                            IF(P50&gt;='🎛️ PANEL DE CONTROL'!B29, "A",
                            IF(P50&gt;='🎛️ PANEL DE CONTROL'!B30, "A-",
                            IF(P50&gt;='🎛️ PANEL DE CONTROL'!B31, "B+",
                            IF(P50&gt;='🎛️ PANEL DE CONTROL'!B32, "B",
                            IF(P50&gt;='🎛️ PANEL DE CONTROL'!B33, "B-",
                            IF(P50&gt;='🎛️ PANEL DE CONTROL'!B34, "C+",
                            IF(P50&gt;='🎛️ PANEL DE CONTROL'!B35, "C",
                            IF(P50&gt;='🎛️ PANEL DE CONTROL'!B36, "C-",
                            IF(P50&gt;='🎛️ PANEL DE CONTROL'!B37, "D", "F"))))))))))</f>
        <v/>
      </c>
      <c r="R50">
        <f>P50-'📊 Datos Originales'!I50</f>
        <v/>
      </c>
    </row>
    <row r="51">
      <c r="A51">
        <f>'📊 Datos Originales'!A51</f>
        <v/>
      </c>
      <c r="B51">
        <f>'📊 Datos Originales'!B51</f>
        <v/>
      </c>
      <c r="C51">
        <f>'📊 Datos Originales'!C51</f>
        <v/>
      </c>
      <c r="D51">
        <f>'📊 Datos Originales'!D51</f>
        <v/>
      </c>
      <c r="E51">
        <f>'📊 Datos Originales'!E51</f>
        <v/>
      </c>
      <c r="F51">
        <f>(C51/600)*'🎛️ PANEL DE CONTROL'!B6</f>
        <v/>
      </c>
      <c r="G51">
        <f>(D51/150)*'🎛️ PANEL DE CONTROL'!B7</f>
        <v/>
      </c>
      <c r="H51">
        <f>(E51/250)*'🎛️ PANEL DE CONTROL'!B8</f>
        <v/>
      </c>
      <c r="I51">
        <f>F51+G51+H51</f>
        <v/>
      </c>
      <c r="J51">
        <f>=IF('📊 Datos Originales'!L51&gt;30, '🎛️ PANEL DE CONTROL'!B13, 0)+=IF('📊 Datos Originales'!N51&gt;80, '🎛️ PANEL DE CONTROL'!B15, 0)</f>
        <v/>
      </c>
      <c r="K51">
        <f>=IF('📊 Datos Originales'!M51&lt;10, '🎛️ PANEL DE CONTROL'!B14, 0)+=IF('📊 Datos Originales'!O51&gt;24, '🎛️ PANEL DE CONTROL'!B16, 0)</f>
        <v/>
      </c>
      <c r="L51">
        <f>MAX(0, MIN(1000, I51-J51+K51))</f>
        <v/>
      </c>
      <c r="M51">
        <f>'📊 Datos Originales'!H51</f>
        <v/>
      </c>
      <c r="N51" s="6">
        <f>IF('📊 Datos Originales'!P51="muy_nuevo", '🎛️ PANEL DE CONTROL'!B20,
                            IF('📊 Datos Originales'!P51="nuevo", '🎛️ PANEL DE CONTROL'!B21,
                            IF('📊 Datos Originales'!P51="intermedio", '🎛️ PANEL DE CONTROL'!B22,
                            IF('📊 Datos Originales'!P51="establecido", '🎛️ PANEL DE CONTROL'!B23,
                            '🎛️ PANEL DE CONTROL'!B24))))</f>
        <v/>
      </c>
      <c r="O51" s="6">
        <f>1-N51</f>
        <v/>
      </c>
      <c r="P51">
        <f>(L51*N51)+(M51*O51)</f>
        <v/>
      </c>
      <c r="Q51">
        <f>IF(P51&gt;='🎛️ PANEL DE CONTROL'!B28, "A+",
                            IF(P51&gt;='🎛️ PANEL DE CONTROL'!B29, "A",
                            IF(P51&gt;='🎛️ PANEL DE CONTROL'!B30, "A-",
                            IF(P51&gt;='🎛️ PANEL DE CONTROL'!B31, "B+",
                            IF(P51&gt;='🎛️ PANEL DE CONTROL'!B32, "B",
                            IF(P51&gt;='🎛️ PANEL DE CONTROL'!B33, "B-",
                            IF(P51&gt;='🎛️ PANEL DE CONTROL'!B34, "C+",
                            IF(P51&gt;='🎛️ PANEL DE CONTROL'!B35, "C",
                            IF(P51&gt;='🎛️ PANEL DE CONTROL'!B36, "C-",
                            IF(P51&gt;='🎛️ PANEL DE CONTROL'!B37, "D", "F"))))))))))</f>
        <v/>
      </c>
      <c r="R51">
        <f>P51-'📊 Datos Originales'!I51</f>
        <v/>
      </c>
    </row>
    <row r="52">
      <c r="A52">
        <f>'📊 Datos Originales'!A52</f>
        <v/>
      </c>
      <c r="B52">
        <f>'📊 Datos Originales'!B52</f>
        <v/>
      </c>
      <c r="C52">
        <f>'📊 Datos Originales'!C52</f>
        <v/>
      </c>
      <c r="D52">
        <f>'📊 Datos Originales'!D52</f>
        <v/>
      </c>
      <c r="E52">
        <f>'📊 Datos Originales'!E52</f>
        <v/>
      </c>
      <c r="F52">
        <f>(C52/600)*'🎛️ PANEL DE CONTROL'!B6</f>
        <v/>
      </c>
      <c r="G52">
        <f>(D52/150)*'🎛️ PANEL DE CONTROL'!B7</f>
        <v/>
      </c>
      <c r="H52">
        <f>(E52/250)*'🎛️ PANEL DE CONTROL'!B8</f>
        <v/>
      </c>
      <c r="I52">
        <f>F52+G52+H52</f>
        <v/>
      </c>
      <c r="J52">
        <f>=IF('📊 Datos Originales'!L52&gt;30, '🎛️ PANEL DE CONTROL'!B13, 0)+=IF('📊 Datos Originales'!N52&gt;80, '🎛️ PANEL DE CONTROL'!B15, 0)</f>
        <v/>
      </c>
      <c r="K52">
        <f>=IF('📊 Datos Originales'!M52&lt;10, '🎛️ PANEL DE CONTROL'!B14, 0)+=IF('📊 Datos Originales'!O52&gt;24, '🎛️ PANEL DE CONTROL'!B16, 0)</f>
        <v/>
      </c>
      <c r="L52">
        <f>MAX(0, MIN(1000, I52-J52+K52))</f>
        <v/>
      </c>
      <c r="M52">
        <f>'📊 Datos Originales'!H52</f>
        <v/>
      </c>
      <c r="N52" s="6">
        <f>IF('📊 Datos Originales'!P52="muy_nuevo", '🎛️ PANEL DE CONTROL'!B20,
                            IF('📊 Datos Originales'!P52="nuevo", '🎛️ PANEL DE CONTROL'!B21,
                            IF('📊 Datos Originales'!P52="intermedio", '🎛️ PANEL DE CONTROL'!B22,
                            IF('📊 Datos Originales'!P52="establecido", '🎛️ PANEL DE CONTROL'!B23,
                            '🎛️ PANEL DE CONTROL'!B24))))</f>
        <v/>
      </c>
      <c r="O52" s="6">
        <f>1-N52</f>
        <v/>
      </c>
      <c r="P52">
        <f>(L52*N52)+(M52*O52)</f>
        <v/>
      </c>
      <c r="Q52">
        <f>IF(P52&gt;='🎛️ PANEL DE CONTROL'!B28, "A+",
                            IF(P52&gt;='🎛️ PANEL DE CONTROL'!B29, "A",
                            IF(P52&gt;='🎛️ PANEL DE CONTROL'!B30, "A-",
                            IF(P52&gt;='🎛️ PANEL DE CONTROL'!B31, "B+",
                            IF(P52&gt;='🎛️ PANEL DE CONTROL'!B32, "B",
                            IF(P52&gt;='🎛️ PANEL DE CONTROL'!B33, "B-",
                            IF(P52&gt;='🎛️ PANEL DE CONTROL'!B34, "C+",
                            IF(P52&gt;='🎛️ PANEL DE CONTROL'!B35, "C",
                            IF(P52&gt;='🎛️ PANEL DE CONTROL'!B36, "C-",
                            IF(P52&gt;='🎛️ PANEL DE CONTROL'!B37, "D", "F"))))))))))</f>
        <v/>
      </c>
      <c r="R52">
        <f>P52-'📊 Datos Originales'!I52</f>
        <v/>
      </c>
    </row>
    <row r="53">
      <c r="A53">
        <f>'📊 Datos Originales'!A53</f>
        <v/>
      </c>
      <c r="B53">
        <f>'📊 Datos Originales'!B53</f>
        <v/>
      </c>
      <c r="C53">
        <f>'📊 Datos Originales'!C53</f>
        <v/>
      </c>
      <c r="D53">
        <f>'📊 Datos Originales'!D53</f>
        <v/>
      </c>
      <c r="E53">
        <f>'📊 Datos Originales'!E53</f>
        <v/>
      </c>
      <c r="F53">
        <f>(C53/600)*'🎛️ PANEL DE CONTROL'!B6</f>
        <v/>
      </c>
      <c r="G53">
        <f>(D53/150)*'🎛️ PANEL DE CONTROL'!B7</f>
        <v/>
      </c>
      <c r="H53">
        <f>(E53/250)*'🎛️ PANEL DE CONTROL'!B8</f>
        <v/>
      </c>
      <c r="I53">
        <f>F53+G53+H53</f>
        <v/>
      </c>
      <c r="J53">
        <f>=IF('📊 Datos Originales'!L53&gt;30, '🎛️ PANEL DE CONTROL'!B13, 0)+=IF('📊 Datos Originales'!N53&gt;80, '🎛️ PANEL DE CONTROL'!B15, 0)</f>
        <v/>
      </c>
      <c r="K53">
        <f>=IF('📊 Datos Originales'!M53&lt;10, '🎛️ PANEL DE CONTROL'!B14, 0)+=IF('📊 Datos Originales'!O53&gt;24, '🎛️ PANEL DE CONTROL'!B16, 0)</f>
        <v/>
      </c>
      <c r="L53">
        <f>MAX(0, MIN(1000, I53-J53+K53))</f>
        <v/>
      </c>
      <c r="M53">
        <f>'📊 Datos Originales'!H53</f>
        <v/>
      </c>
      <c r="N53" s="6">
        <f>IF('📊 Datos Originales'!P53="muy_nuevo", '🎛️ PANEL DE CONTROL'!B20,
                            IF('📊 Datos Originales'!P53="nuevo", '🎛️ PANEL DE CONTROL'!B21,
                            IF('📊 Datos Originales'!P53="intermedio", '🎛️ PANEL DE CONTROL'!B22,
                            IF('📊 Datos Originales'!P53="establecido", '🎛️ PANEL DE CONTROL'!B23,
                            '🎛️ PANEL DE CONTROL'!B24))))</f>
        <v/>
      </c>
      <c r="O53" s="6">
        <f>1-N53</f>
        <v/>
      </c>
      <c r="P53">
        <f>(L53*N53)+(M53*O53)</f>
        <v/>
      </c>
      <c r="Q53">
        <f>IF(P53&gt;='🎛️ PANEL DE CONTROL'!B28, "A+",
                            IF(P53&gt;='🎛️ PANEL DE CONTROL'!B29, "A",
                            IF(P53&gt;='🎛️ PANEL DE CONTROL'!B30, "A-",
                            IF(P53&gt;='🎛️ PANEL DE CONTROL'!B31, "B+",
                            IF(P53&gt;='🎛️ PANEL DE CONTROL'!B32, "B",
                            IF(P53&gt;='🎛️ PANEL DE CONTROL'!B33, "B-",
                            IF(P53&gt;='🎛️ PANEL DE CONTROL'!B34, "C+",
                            IF(P53&gt;='🎛️ PANEL DE CONTROL'!B35, "C",
                            IF(P53&gt;='🎛️ PANEL DE CONTROL'!B36, "C-",
                            IF(P53&gt;='🎛️ PANEL DE CONTROL'!B37, "D", "F"))))))))))</f>
        <v/>
      </c>
      <c r="R53">
        <f>P53-'📊 Datos Originales'!I53</f>
        <v/>
      </c>
    </row>
    <row r="54">
      <c r="A54">
        <f>'📊 Datos Originales'!A54</f>
        <v/>
      </c>
      <c r="B54">
        <f>'📊 Datos Originales'!B54</f>
        <v/>
      </c>
      <c r="C54">
        <f>'📊 Datos Originales'!C54</f>
        <v/>
      </c>
      <c r="D54">
        <f>'📊 Datos Originales'!D54</f>
        <v/>
      </c>
      <c r="E54">
        <f>'📊 Datos Originales'!E54</f>
        <v/>
      </c>
      <c r="F54">
        <f>(C54/600)*'🎛️ PANEL DE CONTROL'!B6</f>
        <v/>
      </c>
      <c r="G54">
        <f>(D54/150)*'🎛️ PANEL DE CONTROL'!B7</f>
        <v/>
      </c>
      <c r="H54">
        <f>(E54/250)*'🎛️ PANEL DE CONTROL'!B8</f>
        <v/>
      </c>
      <c r="I54">
        <f>F54+G54+H54</f>
        <v/>
      </c>
      <c r="J54">
        <f>=IF('📊 Datos Originales'!L54&gt;30, '🎛️ PANEL DE CONTROL'!B13, 0)+=IF('📊 Datos Originales'!N54&gt;80, '🎛️ PANEL DE CONTROL'!B15, 0)</f>
        <v/>
      </c>
      <c r="K54">
        <f>=IF('📊 Datos Originales'!M54&lt;10, '🎛️ PANEL DE CONTROL'!B14, 0)+=IF('📊 Datos Originales'!O54&gt;24, '🎛️ PANEL DE CONTROL'!B16, 0)</f>
        <v/>
      </c>
      <c r="L54">
        <f>MAX(0, MIN(1000, I54-J54+K54))</f>
        <v/>
      </c>
      <c r="M54">
        <f>'📊 Datos Originales'!H54</f>
        <v/>
      </c>
      <c r="N54" s="6">
        <f>IF('📊 Datos Originales'!P54="muy_nuevo", '🎛️ PANEL DE CONTROL'!B20,
                            IF('📊 Datos Originales'!P54="nuevo", '🎛️ PANEL DE CONTROL'!B21,
                            IF('📊 Datos Originales'!P54="intermedio", '🎛️ PANEL DE CONTROL'!B22,
                            IF('📊 Datos Originales'!P54="establecido", '🎛️ PANEL DE CONTROL'!B23,
                            '🎛️ PANEL DE CONTROL'!B24))))</f>
        <v/>
      </c>
      <c r="O54" s="6">
        <f>1-N54</f>
        <v/>
      </c>
      <c r="P54">
        <f>(L54*N54)+(M54*O54)</f>
        <v/>
      </c>
      <c r="Q54">
        <f>IF(P54&gt;='🎛️ PANEL DE CONTROL'!B28, "A+",
                            IF(P54&gt;='🎛️ PANEL DE CONTROL'!B29, "A",
                            IF(P54&gt;='🎛️ PANEL DE CONTROL'!B30, "A-",
                            IF(P54&gt;='🎛️ PANEL DE CONTROL'!B31, "B+",
                            IF(P54&gt;='🎛️ PANEL DE CONTROL'!B32, "B",
                            IF(P54&gt;='🎛️ PANEL DE CONTROL'!B33, "B-",
                            IF(P54&gt;='🎛️ PANEL DE CONTROL'!B34, "C+",
                            IF(P54&gt;='🎛️ PANEL DE CONTROL'!B35, "C",
                            IF(P54&gt;='🎛️ PANEL DE CONTROL'!B36, "C-",
                            IF(P54&gt;='🎛️ PANEL DE CONTROL'!B37, "D", "F"))))))))))</f>
        <v/>
      </c>
      <c r="R54">
        <f>P54-'📊 Datos Originales'!I54</f>
        <v/>
      </c>
    </row>
    <row r="55">
      <c r="A55">
        <f>'📊 Datos Originales'!A55</f>
        <v/>
      </c>
      <c r="B55">
        <f>'📊 Datos Originales'!B55</f>
        <v/>
      </c>
      <c r="C55">
        <f>'📊 Datos Originales'!C55</f>
        <v/>
      </c>
      <c r="D55">
        <f>'📊 Datos Originales'!D55</f>
        <v/>
      </c>
      <c r="E55">
        <f>'📊 Datos Originales'!E55</f>
        <v/>
      </c>
      <c r="F55">
        <f>(C55/600)*'🎛️ PANEL DE CONTROL'!B6</f>
        <v/>
      </c>
      <c r="G55">
        <f>(D55/150)*'🎛️ PANEL DE CONTROL'!B7</f>
        <v/>
      </c>
      <c r="H55">
        <f>(E55/250)*'🎛️ PANEL DE CONTROL'!B8</f>
        <v/>
      </c>
      <c r="I55">
        <f>F55+G55+H55</f>
        <v/>
      </c>
      <c r="J55">
        <f>=IF('📊 Datos Originales'!L55&gt;30, '🎛️ PANEL DE CONTROL'!B13, 0)+=IF('📊 Datos Originales'!N55&gt;80, '🎛️ PANEL DE CONTROL'!B15, 0)</f>
        <v/>
      </c>
      <c r="K55">
        <f>=IF('📊 Datos Originales'!M55&lt;10, '🎛️ PANEL DE CONTROL'!B14, 0)+=IF('📊 Datos Originales'!O55&gt;24, '🎛️ PANEL DE CONTROL'!B16, 0)</f>
        <v/>
      </c>
      <c r="L55">
        <f>MAX(0, MIN(1000, I55-J55+K55))</f>
        <v/>
      </c>
      <c r="M55">
        <f>'📊 Datos Originales'!H55</f>
        <v/>
      </c>
      <c r="N55" s="6">
        <f>IF('📊 Datos Originales'!P55="muy_nuevo", '🎛️ PANEL DE CONTROL'!B20,
                            IF('📊 Datos Originales'!P55="nuevo", '🎛️ PANEL DE CONTROL'!B21,
                            IF('📊 Datos Originales'!P55="intermedio", '🎛️ PANEL DE CONTROL'!B22,
                            IF('📊 Datos Originales'!P55="establecido", '🎛️ PANEL DE CONTROL'!B23,
                            '🎛️ PANEL DE CONTROL'!B24))))</f>
        <v/>
      </c>
      <c r="O55" s="6">
        <f>1-N55</f>
        <v/>
      </c>
      <c r="P55">
        <f>(L55*N55)+(M55*O55)</f>
        <v/>
      </c>
      <c r="Q55">
        <f>IF(P55&gt;='🎛️ PANEL DE CONTROL'!B28, "A+",
                            IF(P55&gt;='🎛️ PANEL DE CONTROL'!B29, "A",
                            IF(P55&gt;='🎛️ PANEL DE CONTROL'!B30, "A-",
                            IF(P55&gt;='🎛️ PANEL DE CONTROL'!B31, "B+",
                            IF(P55&gt;='🎛️ PANEL DE CONTROL'!B32, "B",
                            IF(P55&gt;='🎛️ PANEL DE CONTROL'!B33, "B-",
                            IF(P55&gt;='🎛️ PANEL DE CONTROL'!B34, "C+",
                            IF(P55&gt;='🎛️ PANEL DE CONTROL'!B35, "C",
                            IF(P55&gt;='🎛️ PANEL DE CONTROL'!B36, "C-",
                            IF(P55&gt;='🎛️ PANEL DE CONTROL'!B37, "D", "F"))))))))))</f>
        <v/>
      </c>
      <c r="R55">
        <f>P55-'📊 Datos Originales'!I55</f>
        <v/>
      </c>
    </row>
    <row r="56">
      <c r="A56">
        <f>'📊 Datos Originales'!A56</f>
        <v/>
      </c>
      <c r="B56">
        <f>'📊 Datos Originales'!B56</f>
        <v/>
      </c>
      <c r="C56">
        <f>'📊 Datos Originales'!C56</f>
        <v/>
      </c>
      <c r="D56">
        <f>'📊 Datos Originales'!D56</f>
        <v/>
      </c>
      <c r="E56">
        <f>'📊 Datos Originales'!E56</f>
        <v/>
      </c>
      <c r="F56">
        <f>(C56/600)*'🎛️ PANEL DE CONTROL'!B6</f>
        <v/>
      </c>
      <c r="G56">
        <f>(D56/150)*'🎛️ PANEL DE CONTROL'!B7</f>
        <v/>
      </c>
      <c r="H56">
        <f>(E56/250)*'🎛️ PANEL DE CONTROL'!B8</f>
        <v/>
      </c>
      <c r="I56">
        <f>F56+G56+H56</f>
        <v/>
      </c>
      <c r="J56">
        <f>=IF('📊 Datos Originales'!L56&gt;30, '🎛️ PANEL DE CONTROL'!B13, 0)+=IF('📊 Datos Originales'!N56&gt;80, '🎛️ PANEL DE CONTROL'!B15, 0)</f>
        <v/>
      </c>
      <c r="K56">
        <f>=IF('📊 Datos Originales'!M56&lt;10, '🎛️ PANEL DE CONTROL'!B14, 0)+=IF('📊 Datos Originales'!O56&gt;24, '🎛️ PANEL DE CONTROL'!B16, 0)</f>
        <v/>
      </c>
      <c r="L56">
        <f>MAX(0, MIN(1000, I56-J56+K56))</f>
        <v/>
      </c>
      <c r="M56">
        <f>'📊 Datos Originales'!H56</f>
        <v/>
      </c>
      <c r="N56" s="6">
        <f>IF('📊 Datos Originales'!P56="muy_nuevo", '🎛️ PANEL DE CONTROL'!B20,
                            IF('📊 Datos Originales'!P56="nuevo", '🎛️ PANEL DE CONTROL'!B21,
                            IF('📊 Datos Originales'!P56="intermedio", '🎛️ PANEL DE CONTROL'!B22,
                            IF('📊 Datos Originales'!P56="establecido", '🎛️ PANEL DE CONTROL'!B23,
                            '🎛️ PANEL DE CONTROL'!B24))))</f>
        <v/>
      </c>
      <c r="O56" s="6">
        <f>1-N56</f>
        <v/>
      </c>
      <c r="P56">
        <f>(L56*N56)+(M56*O56)</f>
        <v/>
      </c>
      <c r="Q56">
        <f>IF(P56&gt;='🎛️ PANEL DE CONTROL'!B28, "A+",
                            IF(P56&gt;='🎛️ PANEL DE CONTROL'!B29, "A",
                            IF(P56&gt;='🎛️ PANEL DE CONTROL'!B30, "A-",
                            IF(P56&gt;='🎛️ PANEL DE CONTROL'!B31, "B+",
                            IF(P56&gt;='🎛️ PANEL DE CONTROL'!B32, "B",
                            IF(P56&gt;='🎛️ PANEL DE CONTROL'!B33, "B-",
                            IF(P56&gt;='🎛️ PANEL DE CONTROL'!B34, "C+",
                            IF(P56&gt;='🎛️ PANEL DE CONTROL'!B35, "C",
                            IF(P56&gt;='🎛️ PANEL DE CONTROL'!B36, "C-",
                            IF(P56&gt;='🎛️ PANEL DE CONTROL'!B37, "D", "F"))))))))))</f>
        <v/>
      </c>
      <c r="R56">
        <f>P56-'📊 Datos Originales'!I56</f>
        <v/>
      </c>
    </row>
    <row r="57">
      <c r="A57">
        <f>'📊 Datos Originales'!A57</f>
        <v/>
      </c>
      <c r="B57">
        <f>'📊 Datos Originales'!B57</f>
        <v/>
      </c>
      <c r="C57">
        <f>'📊 Datos Originales'!C57</f>
        <v/>
      </c>
      <c r="D57">
        <f>'📊 Datos Originales'!D57</f>
        <v/>
      </c>
      <c r="E57">
        <f>'📊 Datos Originales'!E57</f>
        <v/>
      </c>
      <c r="F57">
        <f>(C57/600)*'🎛️ PANEL DE CONTROL'!B6</f>
        <v/>
      </c>
      <c r="G57">
        <f>(D57/150)*'🎛️ PANEL DE CONTROL'!B7</f>
        <v/>
      </c>
      <c r="H57">
        <f>(E57/250)*'🎛️ PANEL DE CONTROL'!B8</f>
        <v/>
      </c>
      <c r="I57">
        <f>F57+G57+H57</f>
        <v/>
      </c>
      <c r="J57">
        <f>=IF('📊 Datos Originales'!L57&gt;30, '🎛️ PANEL DE CONTROL'!B13, 0)+=IF('📊 Datos Originales'!N57&gt;80, '🎛️ PANEL DE CONTROL'!B15, 0)</f>
        <v/>
      </c>
      <c r="K57">
        <f>=IF('📊 Datos Originales'!M57&lt;10, '🎛️ PANEL DE CONTROL'!B14, 0)+=IF('📊 Datos Originales'!O57&gt;24, '🎛️ PANEL DE CONTROL'!B16, 0)</f>
        <v/>
      </c>
      <c r="L57">
        <f>MAX(0, MIN(1000, I57-J57+K57))</f>
        <v/>
      </c>
      <c r="M57">
        <f>'📊 Datos Originales'!H57</f>
        <v/>
      </c>
      <c r="N57" s="6">
        <f>IF('📊 Datos Originales'!P57="muy_nuevo", '🎛️ PANEL DE CONTROL'!B20,
                            IF('📊 Datos Originales'!P57="nuevo", '🎛️ PANEL DE CONTROL'!B21,
                            IF('📊 Datos Originales'!P57="intermedio", '🎛️ PANEL DE CONTROL'!B22,
                            IF('📊 Datos Originales'!P57="establecido", '🎛️ PANEL DE CONTROL'!B23,
                            '🎛️ PANEL DE CONTROL'!B24))))</f>
        <v/>
      </c>
      <c r="O57" s="6">
        <f>1-N57</f>
        <v/>
      </c>
      <c r="P57">
        <f>(L57*N57)+(M57*O57)</f>
        <v/>
      </c>
      <c r="Q57">
        <f>IF(P57&gt;='🎛️ PANEL DE CONTROL'!B28, "A+",
                            IF(P57&gt;='🎛️ PANEL DE CONTROL'!B29, "A",
                            IF(P57&gt;='🎛️ PANEL DE CONTROL'!B30, "A-",
                            IF(P57&gt;='🎛️ PANEL DE CONTROL'!B31, "B+",
                            IF(P57&gt;='🎛️ PANEL DE CONTROL'!B32, "B",
                            IF(P57&gt;='🎛️ PANEL DE CONTROL'!B33, "B-",
                            IF(P57&gt;='🎛️ PANEL DE CONTROL'!B34, "C+",
                            IF(P57&gt;='🎛️ PANEL DE CONTROL'!B35, "C",
                            IF(P57&gt;='🎛️ PANEL DE CONTROL'!B36, "C-",
                            IF(P57&gt;='🎛️ PANEL DE CONTROL'!B37, "D", "F"))))))))))</f>
        <v/>
      </c>
      <c r="R57">
        <f>P57-'📊 Datos Originales'!I57</f>
        <v/>
      </c>
    </row>
    <row r="58">
      <c r="A58">
        <f>'📊 Datos Originales'!A58</f>
        <v/>
      </c>
      <c r="B58">
        <f>'📊 Datos Originales'!B58</f>
        <v/>
      </c>
      <c r="C58">
        <f>'📊 Datos Originales'!C58</f>
        <v/>
      </c>
      <c r="D58">
        <f>'📊 Datos Originales'!D58</f>
        <v/>
      </c>
      <c r="E58">
        <f>'📊 Datos Originales'!E58</f>
        <v/>
      </c>
      <c r="F58">
        <f>(C58/600)*'🎛️ PANEL DE CONTROL'!B6</f>
        <v/>
      </c>
      <c r="G58">
        <f>(D58/150)*'🎛️ PANEL DE CONTROL'!B7</f>
        <v/>
      </c>
      <c r="H58">
        <f>(E58/250)*'🎛️ PANEL DE CONTROL'!B8</f>
        <v/>
      </c>
      <c r="I58">
        <f>F58+G58+H58</f>
        <v/>
      </c>
      <c r="J58">
        <f>=IF('📊 Datos Originales'!L58&gt;30, '🎛️ PANEL DE CONTROL'!B13, 0)+=IF('📊 Datos Originales'!N58&gt;80, '🎛️ PANEL DE CONTROL'!B15, 0)</f>
        <v/>
      </c>
      <c r="K58">
        <f>=IF('📊 Datos Originales'!M58&lt;10, '🎛️ PANEL DE CONTROL'!B14, 0)+=IF('📊 Datos Originales'!O58&gt;24, '🎛️ PANEL DE CONTROL'!B16, 0)</f>
        <v/>
      </c>
      <c r="L58">
        <f>MAX(0, MIN(1000, I58-J58+K58))</f>
        <v/>
      </c>
      <c r="M58">
        <f>'📊 Datos Originales'!H58</f>
        <v/>
      </c>
      <c r="N58" s="6">
        <f>IF('📊 Datos Originales'!P58="muy_nuevo", '🎛️ PANEL DE CONTROL'!B20,
                            IF('📊 Datos Originales'!P58="nuevo", '🎛️ PANEL DE CONTROL'!B21,
                            IF('📊 Datos Originales'!P58="intermedio", '🎛️ PANEL DE CONTROL'!B22,
                            IF('📊 Datos Originales'!P58="establecido", '🎛️ PANEL DE CONTROL'!B23,
                            '🎛️ PANEL DE CONTROL'!B24))))</f>
        <v/>
      </c>
      <c r="O58" s="6">
        <f>1-N58</f>
        <v/>
      </c>
      <c r="P58">
        <f>(L58*N58)+(M58*O58)</f>
        <v/>
      </c>
      <c r="Q58">
        <f>IF(P58&gt;='🎛️ PANEL DE CONTROL'!B28, "A+",
                            IF(P58&gt;='🎛️ PANEL DE CONTROL'!B29, "A",
                            IF(P58&gt;='🎛️ PANEL DE CONTROL'!B30, "A-",
                            IF(P58&gt;='🎛️ PANEL DE CONTROL'!B31, "B+",
                            IF(P58&gt;='🎛️ PANEL DE CONTROL'!B32, "B",
                            IF(P58&gt;='🎛️ PANEL DE CONTROL'!B33, "B-",
                            IF(P58&gt;='🎛️ PANEL DE CONTROL'!B34, "C+",
                            IF(P58&gt;='🎛️ PANEL DE CONTROL'!B35, "C",
                            IF(P58&gt;='🎛️ PANEL DE CONTROL'!B36, "C-",
                            IF(P58&gt;='🎛️ PANEL DE CONTROL'!B37, "D", "F"))))))))))</f>
        <v/>
      </c>
      <c r="R58">
        <f>P58-'📊 Datos Originales'!I58</f>
        <v/>
      </c>
    </row>
    <row r="59">
      <c r="A59">
        <f>'📊 Datos Originales'!A59</f>
        <v/>
      </c>
      <c r="B59">
        <f>'📊 Datos Originales'!B59</f>
        <v/>
      </c>
      <c r="C59">
        <f>'📊 Datos Originales'!C59</f>
        <v/>
      </c>
      <c r="D59">
        <f>'📊 Datos Originales'!D59</f>
        <v/>
      </c>
      <c r="E59">
        <f>'📊 Datos Originales'!E59</f>
        <v/>
      </c>
      <c r="F59">
        <f>(C59/600)*'🎛️ PANEL DE CONTROL'!B6</f>
        <v/>
      </c>
      <c r="G59">
        <f>(D59/150)*'🎛️ PANEL DE CONTROL'!B7</f>
        <v/>
      </c>
      <c r="H59">
        <f>(E59/250)*'🎛️ PANEL DE CONTROL'!B8</f>
        <v/>
      </c>
      <c r="I59">
        <f>F59+G59+H59</f>
        <v/>
      </c>
      <c r="J59">
        <f>=IF('📊 Datos Originales'!L59&gt;30, '🎛️ PANEL DE CONTROL'!B13, 0)+=IF('📊 Datos Originales'!N59&gt;80, '🎛️ PANEL DE CONTROL'!B15, 0)</f>
        <v/>
      </c>
      <c r="K59">
        <f>=IF('📊 Datos Originales'!M59&lt;10, '🎛️ PANEL DE CONTROL'!B14, 0)+=IF('📊 Datos Originales'!O59&gt;24, '🎛️ PANEL DE CONTROL'!B16, 0)</f>
        <v/>
      </c>
      <c r="L59">
        <f>MAX(0, MIN(1000, I59-J59+K59))</f>
        <v/>
      </c>
      <c r="M59">
        <f>'📊 Datos Originales'!H59</f>
        <v/>
      </c>
      <c r="N59" s="6">
        <f>IF('📊 Datos Originales'!P59="muy_nuevo", '🎛️ PANEL DE CONTROL'!B20,
                            IF('📊 Datos Originales'!P59="nuevo", '🎛️ PANEL DE CONTROL'!B21,
                            IF('📊 Datos Originales'!P59="intermedio", '🎛️ PANEL DE CONTROL'!B22,
                            IF('📊 Datos Originales'!P59="establecido", '🎛️ PANEL DE CONTROL'!B23,
                            '🎛️ PANEL DE CONTROL'!B24))))</f>
        <v/>
      </c>
      <c r="O59" s="6">
        <f>1-N59</f>
        <v/>
      </c>
      <c r="P59">
        <f>(L59*N59)+(M59*O59)</f>
        <v/>
      </c>
      <c r="Q59">
        <f>IF(P59&gt;='🎛️ PANEL DE CONTROL'!B28, "A+",
                            IF(P59&gt;='🎛️ PANEL DE CONTROL'!B29, "A",
                            IF(P59&gt;='🎛️ PANEL DE CONTROL'!B30, "A-",
                            IF(P59&gt;='🎛️ PANEL DE CONTROL'!B31, "B+",
                            IF(P59&gt;='🎛️ PANEL DE CONTROL'!B32, "B",
                            IF(P59&gt;='🎛️ PANEL DE CONTROL'!B33, "B-",
                            IF(P59&gt;='🎛️ PANEL DE CONTROL'!B34, "C+",
                            IF(P59&gt;='🎛️ PANEL DE CONTROL'!B35, "C",
                            IF(P59&gt;='🎛️ PANEL DE CONTROL'!B36, "C-",
                            IF(P59&gt;='🎛️ PANEL DE CONTROL'!B37, "D", "F"))))))))))</f>
        <v/>
      </c>
      <c r="R59">
        <f>P59-'📊 Datos Originales'!I59</f>
        <v/>
      </c>
    </row>
    <row r="60">
      <c r="A60">
        <f>'📊 Datos Originales'!A60</f>
        <v/>
      </c>
      <c r="B60">
        <f>'📊 Datos Originales'!B60</f>
        <v/>
      </c>
      <c r="C60">
        <f>'📊 Datos Originales'!C60</f>
        <v/>
      </c>
      <c r="D60">
        <f>'📊 Datos Originales'!D60</f>
        <v/>
      </c>
      <c r="E60">
        <f>'📊 Datos Originales'!E60</f>
        <v/>
      </c>
      <c r="F60">
        <f>(C60/600)*'🎛️ PANEL DE CONTROL'!B6</f>
        <v/>
      </c>
      <c r="G60">
        <f>(D60/150)*'🎛️ PANEL DE CONTROL'!B7</f>
        <v/>
      </c>
      <c r="H60">
        <f>(E60/250)*'🎛️ PANEL DE CONTROL'!B8</f>
        <v/>
      </c>
      <c r="I60">
        <f>F60+G60+H60</f>
        <v/>
      </c>
      <c r="J60">
        <f>=IF('📊 Datos Originales'!L60&gt;30, '🎛️ PANEL DE CONTROL'!B13, 0)+=IF('📊 Datos Originales'!N60&gt;80, '🎛️ PANEL DE CONTROL'!B15, 0)</f>
        <v/>
      </c>
      <c r="K60">
        <f>=IF('📊 Datos Originales'!M60&lt;10, '🎛️ PANEL DE CONTROL'!B14, 0)+=IF('📊 Datos Originales'!O60&gt;24, '🎛️ PANEL DE CONTROL'!B16, 0)</f>
        <v/>
      </c>
      <c r="L60">
        <f>MAX(0, MIN(1000, I60-J60+K60))</f>
        <v/>
      </c>
      <c r="M60">
        <f>'📊 Datos Originales'!H60</f>
        <v/>
      </c>
      <c r="N60" s="6">
        <f>IF('📊 Datos Originales'!P60="muy_nuevo", '🎛️ PANEL DE CONTROL'!B20,
                            IF('📊 Datos Originales'!P60="nuevo", '🎛️ PANEL DE CONTROL'!B21,
                            IF('📊 Datos Originales'!P60="intermedio", '🎛️ PANEL DE CONTROL'!B22,
                            IF('📊 Datos Originales'!P60="establecido", '🎛️ PANEL DE CONTROL'!B23,
                            '🎛️ PANEL DE CONTROL'!B24))))</f>
        <v/>
      </c>
      <c r="O60" s="6">
        <f>1-N60</f>
        <v/>
      </c>
      <c r="P60">
        <f>(L60*N60)+(M60*O60)</f>
        <v/>
      </c>
      <c r="Q60">
        <f>IF(P60&gt;='🎛️ PANEL DE CONTROL'!B28, "A+",
                            IF(P60&gt;='🎛️ PANEL DE CONTROL'!B29, "A",
                            IF(P60&gt;='🎛️ PANEL DE CONTROL'!B30, "A-",
                            IF(P60&gt;='🎛️ PANEL DE CONTROL'!B31, "B+",
                            IF(P60&gt;='🎛️ PANEL DE CONTROL'!B32, "B",
                            IF(P60&gt;='🎛️ PANEL DE CONTROL'!B33, "B-",
                            IF(P60&gt;='🎛️ PANEL DE CONTROL'!B34, "C+",
                            IF(P60&gt;='🎛️ PANEL DE CONTROL'!B35, "C",
                            IF(P60&gt;='🎛️ PANEL DE CONTROL'!B36, "C-",
                            IF(P60&gt;='🎛️ PANEL DE CONTROL'!B37, "D", "F"))))))))))</f>
        <v/>
      </c>
      <c r="R60">
        <f>P60-'📊 Datos Originales'!I60</f>
        <v/>
      </c>
    </row>
    <row r="61">
      <c r="A61">
        <f>'📊 Datos Originales'!A61</f>
        <v/>
      </c>
      <c r="B61">
        <f>'📊 Datos Originales'!B61</f>
        <v/>
      </c>
      <c r="C61">
        <f>'📊 Datos Originales'!C61</f>
        <v/>
      </c>
      <c r="D61">
        <f>'📊 Datos Originales'!D61</f>
        <v/>
      </c>
      <c r="E61">
        <f>'📊 Datos Originales'!E61</f>
        <v/>
      </c>
      <c r="F61">
        <f>(C61/600)*'🎛️ PANEL DE CONTROL'!B6</f>
        <v/>
      </c>
      <c r="G61">
        <f>(D61/150)*'🎛️ PANEL DE CONTROL'!B7</f>
        <v/>
      </c>
      <c r="H61">
        <f>(E61/250)*'🎛️ PANEL DE CONTROL'!B8</f>
        <v/>
      </c>
      <c r="I61">
        <f>F61+G61+H61</f>
        <v/>
      </c>
      <c r="J61">
        <f>=IF('📊 Datos Originales'!L61&gt;30, '🎛️ PANEL DE CONTROL'!B13, 0)+=IF('📊 Datos Originales'!N61&gt;80, '🎛️ PANEL DE CONTROL'!B15, 0)</f>
        <v/>
      </c>
      <c r="K61">
        <f>=IF('📊 Datos Originales'!M61&lt;10, '🎛️ PANEL DE CONTROL'!B14, 0)+=IF('📊 Datos Originales'!O61&gt;24, '🎛️ PANEL DE CONTROL'!B16, 0)</f>
        <v/>
      </c>
      <c r="L61">
        <f>MAX(0, MIN(1000, I61-J61+K61))</f>
        <v/>
      </c>
      <c r="M61">
        <f>'📊 Datos Originales'!H61</f>
        <v/>
      </c>
      <c r="N61" s="6">
        <f>IF('📊 Datos Originales'!P61="muy_nuevo", '🎛️ PANEL DE CONTROL'!B20,
                            IF('📊 Datos Originales'!P61="nuevo", '🎛️ PANEL DE CONTROL'!B21,
                            IF('📊 Datos Originales'!P61="intermedio", '🎛️ PANEL DE CONTROL'!B22,
                            IF('📊 Datos Originales'!P61="establecido", '🎛️ PANEL DE CONTROL'!B23,
                            '🎛️ PANEL DE CONTROL'!B24))))</f>
        <v/>
      </c>
      <c r="O61" s="6">
        <f>1-N61</f>
        <v/>
      </c>
      <c r="P61">
        <f>(L61*N61)+(M61*O61)</f>
        <v/>
      </c>
      <c r="Q61">
        <f>IF(P61&gt;='🎛️ PANEL DE CONTROL'!B28, "A+",
                            IF(P61&gt;='🎛️ PANEL DE CONTROL'!B29, "A",
                            IF(P61&gt;='🎛️ PANEL DE CONTROL'!B30, "A-",
                            IF(P61&gt;='🎛️ PANEL DE CONTROL'!B31, "B+",
                            IF(P61&gt;='🎛️ PANEL DE CONTROL'!B32, "B",
                            IF(P61&gt;='🎛️ PANEL DE CONTROL'!B33, "B-",
                            IF(P61&gt;='🎛️ PANEL DE CONTROL'!B34, "C+",
                            IF(P61&gt;='🎛️ PANEL DE CONTROL'!B35, "C",
                            IF(P61&gt;='🎛️ PANEL DE CONTROL'!B36, "C-",
                            IF(P61&gt;='🎛️ PANEL DE CONTROL'!B37, "D", "F"))))))))))</f>
        <v/>
      </c>
      <c r="R61">
        <f>P61-'📊 Datos Originales'!I61</f>
        <v/>
      </c>
    </row>
    <row r="62">
      <c r="A62">
        <f>'📊 Datos Originales'!A62</f>
        <v/>
      </c>
      <c r="B62">
        <f>'📊 Datos Originales'!B62</f>
        <v/>
      </c>
      <c r="C62">
        <f>'📊 Datos Originales'!C62</f>
        <v/>
      </c>
      <c r="D62">
        <f>'📊 Datos Originales'!D62</f>
        <v/>
      </c>
      <c r="E62">
        <f>'📊 Datos Originales'!E62</f>
        <v/>
      </c>
      <c r="F62">
        <f>(C62/600)*'🎛️ PANEL DE CONTROL'!B6</f>
        <v/>
      </c>
      <c r="G62">
        <f>(D62/150)*'🎛️ PANEL DE CONTROL'!B7</f>
        <v/>
      </c>
      <c r="H62">
        <f>(E62/250)*'🎛️ PANEL DE CONTROL'!B8</f>
        <v/>
      </c>
      <c r="I62">
        <f>F62+G62+H62</f>
        <v/>
      </c>
      <c r="J62">
        <f>=IF('📊 Datos Originales'!L62&gt;30, '🎛️ PANEL DE CONTROL'!B13, 0)+=IF('📊 Datos Originales'!N62&gt;80, '🎛️ PANEL DE CONTROL'!B15, 0)</f>
        <v/>
      </c>
      <c r="K62">
        <f>=IF('📊 Datos Originales'!M62&lt;10, '🎛️ PANEL DE CONTROL'!B14, 0)+=IF('📊 Datos Originales'!O62&gt;24, '🎛️ PANEL DE CONTROL'!B16, 0)</f>
        <v/>
      </c>
      <c r="L62">
        <f>MAX(0, MIN(1000, I62-J62+K62))</f>
        <v/>
      </c>
      <c r="M62">
        <f>'📊 Datos Originales'!H62</f>
        <v/>
      </c>
      <c r="N62" s="6">
        <f>IF('📊 Datos Originales'!P62="muy_nuevo", '🎛️ PANEL DE CONTROL'!B20,
                            IF('📊 Datos Originales'!P62="nuevo", '🎛️ PANEL DE CONTROL'!B21,
                            IF('📊 Datos Originales'!P62="intermedio", '🎛️ PANEL DE CONTROL'!B22,
                            IF('📊 Datos Originales'!P62="establecido", '🎛️ PANEL DE CONTROL'!B23,
                            '🎛️ PANEL DE CONTROL'!B24))))</f>
        <v/>
      </c>
      <c r="O62" s="6">
        <f>1-N62</f>
        <v/>
      </c>
      <c r="P62">
        <f>(L62*N62)+(M62*O62)</f>
        <v/>
      </c>
      <c r="Q62">
        <f>IF(P62&gt;='🎛️ PANEL DE CONTROL'!B28, "A+",
                            IF(P62&gt;='🎛️ PANEL DE CONTROL'!B29, "A",
                            IF(P62&gt;='🎛️ PANEL DE CONTROL'!B30, "A-",
                            IF(P62&gt;='🎛️ PANEL DE CONTROL'!B31, "B+",
                            IF(P62&gt;='🎛️ PANEL DE CONTROL'!B32, "B",
                            IF(P62&gt;='🎛️ PANEL DE CONTROL'!B33, "B-",
                            IF(P62&gt;='🎛️ PANEL DE CONTROL'!B34, "C+",
                            IF(P62&gt;='🎛️ PANEL DE CONTROL'!B35, "C",
                            IF(P62&gt;='🎛️ PANEL DE CONTROL'!B36, "C-",
                            IF(P62&gt;='🎛️ PANEL DE CONTROL'!B37, "D", "F"))))))))))</f>
        <v/>
      </c>
      <c r="R62">
        <f>P62-'📊 Datos Originales'!I62</f>
        <v/>
      </c>
    </row>
    <row r="63">
      <c r="A63">
        <f>'📊 Datos Originales'!A63</f>
        <v/>
      </c>
      <c r="B63">
        <f>'📊 Datos Originales'!B63</f>
        <v/>
      </c>
      <c r="C63">
        <f>'📊 Datos Originales'!C63</f>
        <v/>
      </c>
      <c r="D63">
        <f>'📊 Datos Originales'!D63</f>
        <v/>
      </c>
      <c r="E63">
        <f>'📊 Datos Originales'!E63</f>
        <v/>
      </c>
      <c r="F63">
        <f>(C63/600)*'🎛️ PANEL DE CONTROL'!B6</f>
        <v/>
      </c>
      <c r="G63">
        <f>(D63/150)*'🎛️ PANEL DE CONTROL'!B7</f>
        <v/>
      </c>
      <c r="H63">
        <f>(E63/250)*'🎛️ PANEL DE CONTROL'!B8</f>
        <v/>
      </c>
      <c r="I63">
        <f>F63+G63+H63</f>
        <v/>
      </c>
      <c r="J63">
        <f>=IF('📊 Datos Originales'!L63&gt;30, '🎛️ PANEL DE CONTROL'!B13, 0)+=IF('📊 Datos Originales'!N63&gt;80, '🎛️ PANEL DE CONTROL'!B15, 0)</f>
        <v/>
      </c>
      <c r="K63">
        <f>=IF('📊 Datos Originales'!M63&lt;10, '🎛️ PANEL DE CONTROL'!B14, 0)+=IF('📊 Datos Originales'!O63&gt;24, '🎛️ PANEL DE CONTROL'!B16, 0)</f>
        <v/>
      </c>
      <c r="L63">
        <f>MAX(0, MIN(1000, I63-J63+K63))</f>
        <v/>
      </c>
      <c r="M63">
        <f>'📊 Datos Originales'!H63</f>
        <v/>
      </c>
      <c r="N63" s="6">
        <f>IF('📊 Datos Originales'!P63="muy_nuevo", '🎛️ PANEL DE CONTROL'!B20,
                            IF('📊 Datos Originales'!P63="nuevo", '🎛️ PANEL DE CONTROL'!B21,
                            IF('📊 Datos Originales'!P63="intermedio", '🎛️ PANEL DE CONTROL'!B22,
                            IF('📊 Datos Originales'!P63="establecido", '🎛️ PANEL DE CONTROL'!B23,
                            '🎛️ PANEL DE CONTROL'!B24))))</f>
        <v/>
      </c>
      <c r="O63" s="6">
        <f>1-N63</f>
        <v/>
      </c>
      <c r="P63">
        <f>(L63*N63)+(M63*O63)</f>
        <v/>
      </c>
      <c r="Q63">
        <f>IF(P63&gt;='🎛️ PANEL DE CONTROL'!B28, "A+",
                            IF(P63&gt;='🎛️ PANEL DE CONTROL'!B29, "A",
                            IF(P63&gt;='🎛️ PANEL DE CONTROL'!B30, "A-",
                            IF(P63&gt;='🎛️ PANEL DE CONTROL'!B31, "B+",
                            IF(P63&gt;='🎛️ PANEL DE CONTROL'!B32, "B",
                            IF(P63&gt;='🎛️ PANEL DE CONTROL'!B33, "B-",
                            IF(P63&gt;='🎛️ PANEL DE CONTROL'!B34, "C+",
                            IF(P63&gt;='🎛️ PANEL DE CONTROL'!B35, "C",
                            IF(P63&gt;='🎛️ PANEL DE CONTROL'!B36, "C-",
                            IF(P63&gt;='🎛️ PANEL DE CONTROL'!B37, "D", "F"))))))))))</f>
        <v/>
      </c>
      <c r="R63">
        <f>P63-'📊 Datos Originales'!I63</f>
        <v/>
      </c>
    </row>
    <row r="64">
      <c r="A64">
        <f>'📊 Datos Originales'!A64</f>
        <v/>
      </c>
      <c r="B64">
        <f>'📊 Datos Originales'!B64</f>
        <v/>
      </c>
      <c r="C64">
        <f>'📊 Datos Originales'!C64</f>
        <v/>
      </c>
      <c r="D64">
        <f>'📊 Datos Originales'!D64</f>
        <v/>
      </c>
      <c r="E64">
        <f>'📊 Datos Originales'!E64</f>
        <v/>
      </c>
      <c r="F64">
        <f>(C64/600)*'🎛️ PANEL DE CONTROL'!B6</f>
        <v/>
      </c>
      <c r="G64">
        <f>(D64/150)*'🎛️ PANEL DE CONTROL'!B7</f>
        <v/>
      </c>
      <c r="H64">
        <f>(E64/250)*'🎛️ PANEL DE CONTROL'!B8</f>
        <v/>
      </c>
      <c r="I64">
        <f>F64+G64+H64</f>
        <v/>
      </c>
      <c r="J64">
        <f>=IF('📊 Datos Originales'!L64&gt;30, '🎛️ PANEL DE CONTROL'!B13, 0)+=IF('📊 Datos Originales'!N64&gt;80, '🎛️ PANEL DE CONTROL'!B15, 0)</f>
        <v/>
      </c>
      <c r="K64">
        <f>=IF('📊 Datos Originales'!M64&lt;10, '🎛️ PANEL DE CONTROL'!B14, 0)+=IF('📊 Datos Originales'!O64&gt;24, '🎛️ PANEL DE CONTROL'!B16, 0)</f>
        <v/>
      </c>
      <c r="L64">
        <f>MAX(0, MIN(1000, I64-J64+K64))</f>
        <v/>
      </c>
      <c r="M64">
        <f>'📊 Datos Originales'!H64</f>
        <v/>
      </c>
      <c r="N64" s="6">
        <f>IF('📊 Datos Originales'!P64="muy_nuevo", '🎛️ PANEL DE CONTROL'!B20,
                            IF('📊 Datos Originales'!P64="nuevo", '🎛️ PANEL DE CONTROL'!B21,
                            IF('📊 Datos Originales'!P64="intermedio", '🎛️ PANEL DE CONTROL'!B22,
                            IF('📊 Datos Originales'!P64="establecido", '🎛️ PANEL DE CONTROL'!B23,
                            '🎛️ PANEL DE CONTROL'!B24))))</f>
        <v/>
      </c>
      <c r="O64" s="6">
        <f>1-N64</f>
        <v/>
      </c>
      <c r="P64">
        <f>(L64*N64)+(M64*O64)</f>
        <v/>
      </c>
      <c r="Q64">
        <f>IF(P64&gt;='🎛️ PANEL DE CONTROL'!B28, "A+",
                            IF(P64&gt;='🎛️ PANEL DE CONTROL'!B29, "A",
                            IF(P64&gt;='🎛️ PANEL DE CONTROL'!B30, "A-",
                            IF(P64&gt;='🎛️ PANEL DE CONTROL'!B31, "B+",
                            IF(P64&gt;='🎛️ PANEL DE CONTROL'!B32, "B",
                            IF(P64&gt;='🎛️ PANEL DE CONTROL'!B33, "B-",
                            IF(P64&gt;='🎛️ PANEL DE CONTROL'!B34, "C+",
                            IF(P64&gt;='🎛️ PANEL DE CONTROL'!B35, "C",
                            IF(P64&gt;='🎛️ PANEL DE CONTROL'!B36, "C-",
                            IF(P64&gt;='🎛️ PANEL DE CONTROL'!B37, "D", "F"))))))))))</f>
        <v/>
      </c>
      <c r="R64">
        <f>P64-'📊 Datos Originales'!I64</f>
        <v/>
      </c>
    </row>
    <row r="65">
      <c r="A65">
        <f>'📊 Datos Originales'!A65</f>
        <v/>
      </c>
      <c r="B65">
        <f>'📊 Datos Originales'!B65</f>
        <v/>
      </c>
      <c r="C65">
        <f>'📊 Datos Originales'!C65</f>
        <v/>
      </c>
      <c r="D65">
        <f>'📊 Datos Originales'!D65</f>
        <v/>
      </c>
      <c r="E65">
        <f>'📊 Datos Originales'!E65</f>
        <v/>
      </c>
      <c r="F65">
        <f>(C65/600)*'🎛️ PANEL DE CONTROL'!B6</f>
        <v/>
      </c>
      <c r="G65">
        <f>(D65/150)*'🎛️ PANEL DE CONTROL'!B7</f>
        <v/>
      </c>
      <c r="H65">
        <f>(E65/250)*'🎛️ PANEL DE CONTROL'!B8</f>
        <v/>
      </c>
      <c r="I65">
        <f>F65+G65+H65</f>
        <v/>
      </c>
      <c r="J65">
        <f>=IF('📊 Datos Originales'!L65&gt;30, '🎛️ PANEL DE CONTROL'!B13, 0)+=IF('📊 Datos Originales'!N65&gt;80, '🎛️ PANEL DE CONTROL'!B15, 0)</f>
        <v/>
      </c>
      <c r="K65">
        <f>=IF('📊 Datos Originales'!M65&lt;10, '🎛️ PANEL DE CONTROL'!B14, 0)+=IF('📊 Datos Originales'!O65&gt;24, '🎛️ PANEL DE CONTROL'!B16, 0)</f>
        <v/>
      </c>
      <c r="L65">
        <f>MAX(0, MIN(1000, I65-J65+K65))</f>
        <v/>
      </c>
      <c r="M65">
        <f>'📊 Datos Originales'!H65</f>
        <v/>
      </c>
      <c r="N65" s="6">
        <f>IF('📊 Datos Originales'!P65="muy_nuevo", '🎛️ PANEL DE CONTROL'!B20,
                            IF('📊 Datos Originales'!P65="nuevo", '🎛️ PANEL DE CONTROL'!B21,
                            IF('📊 Datos Originales'!P65="intermedio", '🎛️ PANEL DE CONTROL'!B22,
                            IF('📊 Datos Originales'!P65="establecido", '🎛️ PANEL DE CONTROL'!B23,
                            '🎛️ PANEL DE CONTROL'!B24))))</f>
        <v/>
      </c>
      <c r="O65" s="6">
        <f>1-N65</f>
        <v/>
      </c>
      <c r="P65">
        <f>(L65*N65)+(M65*O65)</f>
        <v/>
      </c>
      <c r="Q65">
        <f>IF(P65&gt;='🎛️ PANEL DE CONTROL'!B28, "A+",
                            IF(P65&gt;='🎛️ PANEL DE CONTROL'!B29, "A",
                            IF(P65&gt;='🎛️ PANEL DE CONTROL'!B30, "A-",
                            IF(P65&gt;='🎛️ PANEL DE CONTROL'!B31, "B+",
                            IF(P65&gt;='🎛️ PANEL DE CONTROL'!B32, "B",
                            IF(P65&gt;='🎛️ PANEL DE CONTROL'!B33, "B-",
                            IF(P65&gt;='🎛️ PANEL DE CONTROL'!B34, "C+",
                            IF(P65&gt;='🎛️ PANEL DE CONTROL'!B35, "C",
                            IF(P65&gt;='🎛️ PANEL DE CONTROL'!B36, "C-",
                            IF(P65&gt;='🎛️ PANEL DE CONTROL'!B37, "D", "F"))))))))))</f>
        <v/>
      </c>
      <c r="R65">
        <f>P65-'📊 Datos Originales'!I65</f>
        <v/>
      </c>
    </row>
    <row r="66">
      <c r="A66">
        <f>'📊 Datos Originales'!A66</f>
        <v/>
      </c>
      <c r="B66">
        <f>'📊 Datos Originales'!B66</f>
        <v/>
      </c>
      <c r="C66">
        <f>'📊 Datos Originales'!C66</f>
        <v/>
      </c>
      <c r="D66">
        <f>'📊 Datos Originales'!D66</f>
        <v/>
      </c>
      <c r="E66">
        <f>'📊 Datos Originales'!E66</f>
        <v/>
      </c>
      <c r="F66">
        <f>(C66/600)*'🎛️ PANEL DE CONTROL'!B6</f>
        <v/>
      </c>
      <c r="G66">
        <f>(D66/150)*'🎛️ PANEL DE CONTROL'!B7</f>
        <v/>
      </c>
      <c r="H66">
        <f>(E66/250)*'🎛️ PANEL DE CONTROL'!B8</f>
        <v/>
      </c>
      <c r="I66">
        <f>F66+G66+H66</f>
        <v/>
      </c>
      <c r="J66">
        <f>=IF('📊 Datos Originales'!L66&gt;30, '🎛️ PANEL DE CONTROL'!B13, 0)+=IF('📊 Datos Originales'!N66&gt;80, '🎛️ PANEL DE CONTROL'!B15, 0)</f>
        <v/>
      </c>
      <c r="K66">
        <f>=IF('📊 Datos Originales'!M66&lt;10, '🎛️ PANEL DE CONTROL'!B14, 0)+=IF('📊 Datos Originales'!O66&gt;24, '🎛️ PANEL DE CONTROL'!B16, 0)</f>
        <v/>
      </c>
      <c r="L66">
        <f>MAX(0, MIN(1000, I66-J66+K66))</f>
        <v/>
      </c>
      <c r="M66">
        <f>'📊 Datos Originales'!H66</f>
        <v/>
      </c>
      <c r="N66" s="6">
        <f>IF('📊 Datos Originales'!P66="muy_nuevo", '🎛️ PANEL DE CONTROL'!B20,
                            IF('📊 Datos Originales'!P66="nuevo", '🎛️ PANEL DE CONTROL'!B21,
                            IF('📊 Datos Originales'!P66="intermedio", '🎛️ PANEL DE CONTROL'!B22,
                            IF('📊 Datos Originales'!P66="establecido", '🎛️ PANEL DE CONTROL'!B23,
                            '🎛️ PANEL DE CONTROL'!B24))))</f>
        <v/>
      </c>
      <c r="O66" s="6">
        <f>1-N66</f>
        <v/>
      </c>
      <c r="P66">
        <f>(L66*N66)+(M66*O66)</f>
        <v/>
      </c>
      <c r="Q66">
        <f>IF(P66&gt;='🎛️ PANEL DE CONTROL'!B28, "A+",
                            IF(P66&gt;='🎛️ PANEL DE CONTROL'!B29, "A",
                            IF(P66&gt;='🎛️ PANEL DE CONTROL'!B30, "A-",
                            IF(P66&gt;='🎛️ PANEL DE CONTROL'!B31, "B+",
                            IF(P66&gt;='🎛️ PANEL DE CONTROL'!B32, "B",
                            IF(P66&gt;='🎛️ PANEL DE CONTROL'!B33, "B-",
                            IF(P66&gt;='🎛️ PANEL DE CONTROL'!B34, "C+",
                            IF(P66&gt;='🎛️ PANEL DE CONTROL'!B35, "C",
                            IF(P66&gt;='🎛️ PANEL DE CONTROL'!B36, "C-",
                            IF(P66&gt;='🎛️ PANEL DE CONTROL'!B37, "D", "F"))))))))))</f>
        <v/>
      </c>
      <c r="R66">
        <f>P66-'📊 Datos Originales'!I66</f>
        <v/>
      </c>
    </row>
    <row r="67">
      <c r="A67">
        <f>'📊 Datos Originales'!A67</f>
        <v/>
      </c>
      <c r="B67">
        <f>'📊 Datos Originales'!B67</f>
        <v/>
      </c>
      <c r="C67">
        <f>'📊 Datos Originales'!C67</f>
        <v/>
      </c>
      <c r="D67">
        <f>'📊 Datos Originales'!D67</f>
        <v/>
      </c>
      <c r="E67">
        <f>'📊 Datos Originales'!E67</f>
        <v/>
      </c>
      <c r="F67">
        <f>(C67/600)*'🎛️ PANEL DE CONTROL'!B6</f>
        <v/>
      </c>
      <c r="G67">
        <f>(D67/150)*'🎛️ PANEL DE CONTROL'!B7</f>
        <v/>
      </c>
      <c r="H67">
        <f>(E67/250)*'🎛️ PANEL DE CONTROL'!B8</f>
        <v/>
      </c>
      <c r="I67">
        <f>F67+G67+H67</f>
        <v/>
      </c>
      <c r="J67">
        <f>=IF('📊 Datos Originales'!L67&gt;30, '🎛️ PANEL DE CONTROL'!B13, 0)+=IF('📊 Datos Originales'!N67&gt;80, '🎛️ PANEL DE CONTROL'!B15, 0)</f>
        <v/>
      </c>
      <c r="K67">
        <f>=IF('📊 Datos Originales'!M67&lt;10, '🎛️ PANEL DE CONTROL'!B14, 0)+=IF('📊 Datos Originales'!O67&gt;24, '🎛️ PANEL DE CONTROL'!B16, 0)</f>
        <v/>
      </c>
      <c r="L67">
        <f>MAX(0, MIN(1000, I67-J67+K67))</f>
        <v/>
      </c>
      <c r="M67">
        <f>'📊 Datos Originales'!H67</f>
        <v/>
      </c>
      <c r="N67" s="6">
        <f>IF('📊 Datos Originales'!P67="muy_nuevo", '🎛️ PANEL DE CONTROL'!B20,
                            IF('📊 Datos Originales'!P67="nuevo", '🎛️ PANEL DE CONTROL'!B21,
                            IF('📊 Datos Originales'!P67="intermedio", '🎛️ PANEL DE CONTROL'!B22,
                            IF('📊 Datos Originales'!P67="establecido", '🎛️ PANEL DE CONTROL'!B23,
                            '🎛️ PANEL DE CONTROL'!B24))))</f>
        <v/>
      </c>
      <c r="O67" s="6">
        <f>1-N67</f>
        <v/>
      </c>
      <c r="P67">
        <f>(L67*N67)+(M67*O67)</f>
        <v/>
      </c>
      <c r="Q67">
        <f>IF(P67&gt;='🎛️ PANEL DE CONTROL'!B28, "A+",
                            IF(P67&gt;='🎛️ PANEL DE CONTROL'!B29, "A",
                            IF(P67&gt;='🎛️ PANEL DE CONTROL'!B30, "A-",
                            IF(P67&gt;='🎛️ PANEL DE CONTROL'!B31, "B+",
                            IF(P67&gt;='🎛️ PANEL DE CONTROL'!B32, "B",
                            IF(P67&gt;='🎛️ PANEL DE CONTROL'!B33, "B-",
                            IF(P67&gt;='🎛️ PANEL DE CONTROL'!B34, "C+",
                            IF(P67&gt;='🎛️ PANEL DE CONTROL'!B35, "C",
                            IF(P67&gt;='🎛️ PANEL DE CONTROL'!B36, "C-",
                            IF(P67&gt;='🎛️ PANEL DE CONTROL'!B37, "D", "F"))))))))))</f>
        <v/>
      </c>
      <c r="R67">
        <f>P67-'📊 Datos Originales'!I67</f>
        <v/>
      </c>
    </row>
    <row r="68">
      <c r="A68">
        <f>'📊 Datos Originales'!A68</f>
        <v/>
      </c>
      <c r="B68">
        <f>'📊 Datos Originales'!B68</f>
        <v/>
      </c>
      <c r="C68">
        <f>'📊 Datos Originales'!C68</f>
        <v/>
      </c>
      <c r="D68">
        <f>'📊 Datos Originales'!D68</f>
        <v/>
      </c>
      <c r="E68">
        <f>'📊 Datos Originales'!E68</f>
        <v/>
      </c>
      <c r="F68">
        <f>(C68/600)*'🎛️ PANEL DE CONTROL'!B6</f>
        <v/>
      </c>
      <c r="G68">
        <f>(D68/150)*'🎛️ PANEL DE CONTROL'!B7</f>
        <v/>
      </c>
      <c r="H68">
        <f>(E68/250)*'🎛️ PANEL DE CONTROL'!B8</f>
        <v/>
      </c>
      <c r="I68">
        <f>F68+G68+H68</f>
        <v/>
      </c>
      <c r="J68">
        <f>=IF('📊 Datos Originales'!L68&gt;30, '🎛️ PANEL DE CONTROL'!B13, 0)+=IF('📊 Datos Originales'!N68&gt;80, '🎛️ PANEL DE CONTROL'!B15, 0)</f>
        <v/>
      </c>
      <c r="K68">
        <f>=IF('📊 Datos Originales'!M68&lt;10, '🎛️ PANEL DE CONTROL'!B14, 0)+=IF('📊 Datos Originales'!O68&gt;24, '🎛️ PANEL DE CONTROL'!B16, 0)</f>
        <v/>
      </c>
      <c r="L68">
        <f>MAX(0, MIN(1000, I68-J68+K68))</f>
        <v/>
      </c>
      <c r="M68">
        <f>'📊 Datos Originales'!H68</f>
        <v/>
      </c>
      <c r="N68" s="6">
        <f>IF('📊 Datos Originales'!P68="muy_nuevo", '🎛️ PANEL DE CONTROL'!B20,
                            IF('📊 Datos Originales'!P68="nuevo", '🎛️ PANEL DE CONTROL'!B21,
                            IF('📊 Datos Originales'!P68="intermedio", '🎛️ PANEL DE CONTROL'!B22,
                            IF('📊 Datos Originales'!P68="establecido", '🎛️ PANEL DE CONTROL'!B23,
                            '🎛️ PANEL DE CONTROL'!B24))))</f>
        <v/>
      </c>
      <c r="O68" s="6">
        <f>1-N68</f>
        <v/>
      </c>
      <c r="P68">
        <f>(L68*N68)+(M68*O68)</f>
        <v/>
      </c>
      <c r="Q68">
        <f>IF(P68&gt;='🎛️ PANEL DE CONTROL'!B28, "A+",
                            IF(P68&gt;='🎛️ PANEL DE CONTROL'!B29, "A",
                            IF(P68&gt;='🎛️ PANEL DE CONTROL'!B30, "A-",
                            IF(P68&gt;='🎛️ PANEL DE CONTROL'!B31, "B+",
                            IF(P68&gt;='🎛️ PANEL DE CONTROL'!B32, "B",
                            IF(P68&gt;='🎛️ PANEL DE CONTROL'!B33, "B-",
                            IF(P68&gt;='🎛️ PANEL DE CONTROL'!B34, "C+",
                            IF(P68&gt;='🎛️ PANEL DE CONTROL'!B35, "C",
                            IF(P68&gt;='🎛️ PANEL DE CONTROL'!B36, "C-",
                            IF(P68&gt;='🎛️ PANEL DE CONTROL'!B37, "D", "F"))))))))))</f>
        <v/>
      </c>
      <c r="R68">
        <f>P68-'📊 Datos Originales'!I68</f>
        <v/>
      </c>
    </row>
    <row r="69">
      <c r="A69">
        <f>'📊 Datos Originales'!A69</f>
        <v/>
      </c>
      <c r="B69">
        <f>'📊 Datos Originales'!B69</f>
        <v/>
      </c>
      <c r="C69">
        <f>'📊 Datos Originales'!C69</f>
        <v/>
      </c>
      <c r="D69">
        <f>'📊 Datos Originales'!D69</f>
        <v/>
      </c>
      <c r="E69">
        <f>'📊 Datos Originales'!E69</f>
        <v/>
      </c>
      <c r="F69">
        <f>(C69/600)*'🎛️ PANEL DE CONTROL'!B6</f>
        <v/>
      </c>
      <c r="G69">
        <f>(D69/150)*'🎛️ PANEL DE CONTROL'!B7</f>
        <v/>
      </c>
      <c r="H69">
        <f>(E69/250)*'🎛️ PANEL DE CONTROL'!B8</f>
        <v/>
      </c>
      <c r="I69">
        <f>F69+G69+H69</f>
        <v/>
      </c>
      <c r="J69">
        <f>=IF('📊 Datos Originales'!L69&gt;30, '🎛️ PANEL DE CONTROL'!B13, 0)+=IF('📊 Datos Originales'!N69&gt;80, '🎛️ PANEL DE CONTROL'!B15, 0)</f>
        <v/>
      </c>
      <c r="K69">
        <f>=IF('📊 Datos Originales'!M69&lt;10, '🎛️ PANEL DE CONTROL'!B14, 0)+=IF('📊 Datos Originales'!O69&gt;24, '🎛️ PANEL DE CONTROL'!B16, 0)</f>
        <v/>
      </c>
      <c r="L69">
        <f>MAX(0, MIN(1000, I69-J69+K69))</f>
        <v/>
      </c>
      <c r="M69">
        <f>'📊 Datos Originales'!H69</f>
        <v/>
      </c>
      <c r="N69" s="6">
        <f>IF('📊 Datos Originales'!P69="muy_nuevo", '🎛️ PANEL DE CONTROL'!B20,
                            IF('📊 Datos Originales'!P69="nuevo", '🎛️ PANEL DE CONTROL'!B21,
                            IF('📊 Datos Originales'!P69="intermedio", '🎛️ PANEL DE CONTROL'!B22,
                            IF('📊 Datos Originales'!P69="establecido", '🎛️ PANEL DE CONTROL'!B23,
                            '🎛️ PANEL DE CONTROL'!B24))))</f>
        <v/>
      </c>
      <c r="O69" s="6">
        <f>1-N69</f>
        <v/>
      </c>
      <c r="P69">
        <f>(L69*N69)+(M69*O69)</f>
        <v/>
      </c>
      <c r="Q69">
        <f>IF(P69&gt;='🎛️ PANEL DE CONTROL'!B28, "A+",
                            IF(P69&gt;='🎛️ PANEL DE CONTROL'!B29, "A",
                            IF(P69&gt;='🎛️ PANEL DE CONTROL'!B30, "A-",
                            IF(P69&gt;='🎛️ PANEL DE CONTROL'!B31, "B+",
                            IF(P69&gt;='🎛️ PANEL DE CONTROL'!B32, "B",
                            IF(P69&gt;='🎛️ PANEL DE CONTROL'!B33, "B-",
                            IF(P69&gt;='🎛️ PANEL DE CONTROL'!B34, "C+",
                            IF(P69&gt;='🎛️ PANEL DE CONTROL'!B35, "C",
                            IF(P69&gt;='🎛️ PANEL DE CONTROL'!B36, "C-",
                            IF(P69&gt;='🎛️ PANEL DE CONTROL'!B37, "D", "F"))))))))))</f>
        <v/>
      </c>
      <c r="R69">
        <f>P69-'📊 Datos Originales'!I69</f>
        <v/>
      </c>
    </row>
    <row r="70">
      <c r="A70">
        <f>'📊 Datos Originales'!A70</f>
        <v/>
      </c>
      <c r="B70">
        <f>'📊 Datos Originales'!B70</f>
        <v/>
      </c>
      <c r="C70">
        <f>'📊 Datos Originales'!C70</f>
        <v/>
      </c>
      <c r="D70">
        <f>'📊 Datos Originales'!D70</f>
        <v/>
      </c>
      <c r="E70">
        <f>'📊 Datos Originales'!E70</f>
        <v/>
      </c>
      <c r="F70">
        <f>(C70/600)*'🎛️ PANEL DE CONTROL'!B6</f>
        <v/>
      </c>
      <c r="G70">
        <f>(D70/150)*'🎛️ PANEL DE CONTROL'!B7</f>
        <v/>
      </c>
      <c r="H70">
        <f>(E70/250)*'🎛️ PANEL DE CONTROL'!B8</f>
        <v/>
      </c>
      <c r="I70">
        <f>F70+G70+H70</f>
        <v/>
      </c>
      <c r="J70">
        <f>=IF('📊 Datos Originales'!L70&gt;30, '🎛️ PANEL DE CONTROL'!B13, 0)+=IF('📊 Datos Originales'!N70&gt;80, '🎛️ PANEL DE CONTROL'!B15, 0)</f>
        <v/>
      </c>
      <c r="K70">
        <f>=IF('📊 Datos Originales'!M70&lt;10, '🎛️ PANEL DE CONTROL'!B14, 0)+=IF('📊 Datos Originales'!O70&gt;24, '🎛️ PANEL DE CONTROL'!B16, 0)</f>
        <v/>
      </c>
      <c r="L70">
        <f>MAX(0, MIN(1000, I70-J70+K70))</f>
        <v/>
      </c>
      <c r="M70">
        <f>'📊 Datos Originales'!H70</f>
        <v/>
      </c>
      <c r="N70" s="6">
        <f>IF('📊 Datos Originales'!P70="muy_nuevo", '🎛️ PANEL DE CONTROL'!B20,
                            IF('📊 Datos Originales'!P70="nuevo", '🎛️ PANEL DE CONTROL'!B21,
                            IF('📊 Datos Originales'!P70="intermedio", '🎛️ PANEL DE CONTROL'!B22,
                            IF('📊 Datos Originales'!P70="establecido", '🎛️ PANEL DE CONTROL'!B23,
                            '🎛️ PANEL DE CONTROL'!B24))))</f>
        <v/>
      </c>
      <c r="O70" s="6">
        <f>1-N70</f>
        <v/>
      </c>
      <c r="P70">
        <f>(L70*N70)+(M70*O70)</f>
        <v/>
      </c>
      <c r="Q70">
        <f>IF(P70&gt;='🎛️ PANEL DE CONTROL'!B28, "A+",
                            IF(P70&gt;='🎛️ PANEL DE CONTROL'!B29, "A",
                            IF(P70&gt;='🎛️ PANEL DE CONTROL'!B30, "A-",
                            IF(P70&gt;='🎛️ PANEL DE CONTROL'!B31, "B+",
                            IF(P70&gt;='🎛️ PANEL DE CONTROL'!B32, "B",
                            IF(P70&gt;='🎛️ PANEL DE CONTROL'!B33, "B-",
                            IF(P70&gt;='🎛️ PANEL DE CONTROL'!B34, "C+",
                            IF(P70&gt;='🎛️ PANEL DE CONTROL'!B35, "C",
                            IF(P70&gt;='🎛️ PANEL DE CONTROL'!B36, "C-",
                            IF(P70&gt;='🎛️ PANEL DE CONTROL'!B37, "D", "F"))))))))))</f>
        <v/>
      </c>
      <c r="R70">
        <f>P70-'📊 Datos Originales'!I70</f>
        <v/>
      </c>
    </row>
    <row r="71">
      <c r="A71">
        <f>'📊 Datos Originales'!A71</f>
        <v/>
      </c>
      <c r="B71">
        <f>'📊 Datos Originales'!B71</f>
        <v/>
      </c>
      <c r="C71">
        <f>'📊 Datos Originales'!C71</f>
        <v/>
      </c>
      <c r="D71">
        <f>'📊 Datos Originales'!D71</f>
        <v/>
      </c>
      <c r="E71">
        <f>'📊 Datos Originales'!E71</f>
        <v/>
      </c>
      <c r="F71">
        <f>(C71/600)*'🎛️ PANEL DE CONTROL'!B6</f>
        <v/>
      </c>
      <c r="G71">
        <f>(D71/150)*'🎛️ PANEL DE CONTROL'!B7</f>
        <v/>
      </c>
      <c r="H71">
        <f>(E71/250)*'🎛️ PANEL DE CONTROL'!B8</f>
        <v/>
      </c>
      <c r="I71">
        <f>F71+G71+H71</f>
        <v/>
      </c>
      <c r="J71">
        <f>=IF('📊 Datos Originales'!L71&gt;30, '🎛️ PANEL DE CONTROL'!B13, 0)+=IF('📊 Datos Originales'!N71&gt;80, '🎛️ PANEL DE CONTROL'!B15, 0)</f>
        <v/>
      </c>
      <c r="K71">
        <f>=IF('📊 Datos Originales'!M71&lt;10, '🎛️ PANEL DE CONTROL'!B14, 0)+=IF('📊 Datos Originales'!O71&gt;24, '🎛️ PANEL DE CONTROL'!B16, 0)</f>
        <v/>
      </c>
      <c r="L71">
        <f>MAX(0, MIN(1000, I71-J71+K71))</f>
        <v/>
      </c>
      <c r="M71">
        <f>'📊 Datos Originales'!H71</f>
        <v/>
      </c>
      <c r="N71" s="6">
        <f>IF('📊 Datos Originales'!P71="muy_nuevo", '🎛️ PANEL DE CONTROL'!B20,
                            IF('📊 Datos Originales'!P71="nuevo", '🎛️ PANEL DE CONTROL'!B21,
                            IF('📊 Datos Originales'!P71="intermedio", '🎛️ PANEL DE CONTROL'!B22,
                            IF('📊 Datos Originales'!P71="establecido", '🎛️ PANEL DE CONTROL'!B23,
                            '🎛️ PANEL DE CONTROL'!B24))))</f>
        <v/>
      </c>
      <c r="O71" s="6">
        <f>1-N71</f>
        <v/>
      </c>
      <c r="P71">
        <f>(L71*N71)+(M71*O71)</f>
        <v/>
      </c>
      <c r="Q71">
        <f>IF(P71&gt;='🎛️ PANEL DE CONTROL'!B28, "A+",
                            IF(P71&gt;='🎛️ PANEL DE CONTROL'!B29, "A",
                            IF(P71&gt;='🎛️ PANEL DE CONTROL'!B30, "A-",
                            IF(P71&gt;='🎛️ PANEL DE CONTROL'!B31, "B+",
                            IF(P71&gt;='🎛️ PANEL DE CONTROL'!B32, "B",
                            IF(P71&gt;='🎛️ PANEL DE CONTROL'!B33, "B-",
                            IF(P71&gt;='🎛️ PANEL DE CONTROL'!B34, "C+",
                            IF(P71&gt;='🎛️ PANEL DE CONTROL'!B35, "C",
                            IF(P71&gt;='🎛️ PANEL DE CONTROL'!B36, "C-",
                            IF(P71&gt;='🎛️ PANEL DE CONTROL'!B37, "D", "F"))))))))))</f>
        <v/>
      </c>
      <c r="R71">
        <f>P71-'📊 Datos Originales'!I71</f>
        <v/>
      </c>
    </row>
    <row r="72">
      <c r="A72">
        <f>'📊 Datos Originales'!A72</f>
        <v/>
      </c>
      <c r="B72">
        <f>'📊 Datos Originales'!B72</f>
        <v/>
      </c>
      <c r="C72">
        <f>'📊 Datos Originales'!C72</f>
        <v/>
      </c>
      <c r="D72">
        <f>'📊 Datos Originales'!D72</f>
        <v/>
      </c>
      <c r="E72">
        <f>'📊 Datos Originales'!E72</f>
        <v/>
      </c>
      <c r="F72">
        <f>(C72/600)*'🎛️ PANEL DE CONTROL'!B6</f>
        <v/>
      </c>
      <c r="G72">
        <f>(D72/150)*'🎛️ PANEL DE CONTROL'!B7</f>
        <v/>
      </c>
      <c r="H72">
        <f>(E72/250)*'🎛️ PANEL DE CONTROL'!B8</f>
        <v/>
      </c>
      <c r="I72">
        <f>F72+G72+H72</f>
        <v/>
      </c>
      <c r="J72">
        <f>=IF('📊 Datos Originales'!L72&gt;30, '🎛️ PANEL DE CONTROL'!B13, 0)+=IF('📊 Datos Originales'!N72&gt;80, '🎛️ PANEL DE CONTROL'!B15, 0)</f>
        <v/>
      </c>
      <c r="K72">
        <f>=IF('📊 Datos Originales'!M72&lt;10, '🎛️ PANEL DE CONTROL'!B14, 0)+=IF('📊 Datos Originales'!O72&gt;24, '🎛️ PANEL DE CONTROL'!B16, 0)</f>
        <v/>
      </c>
      <c r="L72">
        <f>MAX(0, MIN(1000, I72-J72+K72))</f>
        <v/>
      </c>
      <c r="M72">
        <f>'📊 Datos Originales'!H72</f>
        <v/>
      </c>
      <c r="N72" s="6">
        <f>IF('📊 Datos Originales'!P72="muy_nuevo", '🎛️ PANEL DE CONTROL'!B20,
                            IF('📊 Datos Originales'!P72="nuevo", '🎛️ PANEL DE CONTROL'!B21,
                            IF('📊 Datos Originales'!P72="intermedio", '🎛️ PANEL DE CONTROL'!B22,
                            IF('📊 Datos Originales'!P72="establecido", '🎛️ PANEL DE CONTROL'!B23,
                            '🎛️ PANEL DE CONTROL'!B24))))</f>
        <v/>
      </c>
      <c r="O72" s="6">
        <f>1-N72</f>
        <v/>
      </c>
      <c r="P72">
        <f>(L72*N72)+(M72*O72)</f>
        <v/>
      </c>
      <c r="Q72">
        <f>IF(P72&gt;='🎛️ PANEL DE CONTROL'!B28, "A+",
                            IF(P72&gt;='🎛️ PANEL DE CONTROL'!B29, "A",
                            IF(P72&gt;='🎛️ PANEL DE CONTROL'!B30, "A-",
                            IF(P72&gt;='🎛️ PANEL DE CONTROL'!B31, "B+",
                            IF(P72&gt;='🎛️ PANEL DE CONTROL'!B32, "B",
                            IF(P72&gt;='🎛️ PANEL DE CONTROL'!B33, "B-",
                            IF(P72&gt;='🎛️ PANEL DE CONTROL'!B34, "C+",
                            IF(P72&gt;='🎛️ PANEL DE CONTROL'!B35, "C",
                            IF(P72&gt;='🎛️ PANEL DE CONTROL'!B36, "C-",
                            IF(P72&gt;='🎛️ PANEL DE CONTROL'!B37, "D", "F"))))))))))</f>
        <v/>
      </c>
      <c r="R72">
        <f>P72-'📊 Datos Originales'!I72</f>
        <v/>
      </c>
    </row>
    <row r="73">
      <c r="A73">
        <f>'📊 Datos Originales'!A73</f>
        <v/>
      </c>
      <c r="B73">
        <f>'📊 Datos Originales'!B73</f>
        <v/>
      </c>
      <c r="C73">
        <f>'📊 Datos Originales'!C73</f>
        <v/>
      </c>
      <c r="D73">
        <f>'📊 Datos Originales'!D73</f>
        <v/>
      </c>
      <c r="E73">
        <f>'📊 Datos Originales'!E73</f>
        <v/>
      </c>
      <c r="F73">
        <f>(C73/600)*'🎛️ PANEL DE CONTROL'!B6</f>
        <v/>
      </c>
      <c r="G73">
        <f>(D73/150)*'🎛️ PANEL DE CONTROL'!B7</f>
        <v/>
      </c>
      <c r="H73">
        <f>(E73/250)*'🎛️ PANEL DE CONTROL'!B8</f>
        <v/>
      </c>
      <c r="I73">
        <f>F73+G73+H73</f>
        <v/>
      </c>
      <c r="J73">
        <f>=IF('📊 Datos Originales'!L73&gt;30, '🎛️ PANEL DE CONTROL'!B13, 0)+=IF('📊 Datos Originales'!N73&gt;80, '🎛️ PANEL DE CONTROL'!B15, 0)</f>
        <v/>
      </c>
      <c r="K73">
        <f>=IF('📊 Datos Originales'!M73&lt;10, '🎛️ PANEL DE CONTROL'!B14, 0)+=IF('📊 Datos Originales'!O73&gt;24, '🎛️ PANEL DE CONTROL'!B16, 0)</f>
        <v/>
      </c>
      <c r="L73">
        <f>MAX(0, MIN(1000, I73-J73+K73))</f>
        <v/>
      </c>
      <c r="M73">
        <f>'📊 Datos Originales'!H73</f>
        <v/>
      </c>
      <c r="N73" s="6">
        <f>IF('📊 Datos Originales'!P73="muy_nuevo", '🎛️ PANEL DE CONTROL'!B20,
                            IF('📊 Datos Originales'!P73="nuevo", '🎛️ PANEL DE CONTROL'!B21,
                            IF('📊 Datos Originales'!P73="intermedio", '🎛️ PANEL DE CONTROL'!B22,
                            IF('📊 Datos Originales'!P73="establecido", '🎛️ PANEL DE CONTROL'!B23,
                            '🎛️ PANEL DE CONTROL'!B24))))</f>
        <v/>
      </c>
      <c r="O73" s="6">
        <f>1-N73</f>
        <v/>
      </c>
      <c r="P73">
        <f>(L73*N73)+(M73*O73)</f>
        <v/>
      </c>
      <c r="Q73">
        <f>IF(P73&gt;='🎛️ PANEL DE CONTROL'!B28, "A+",
                            IF(P73&gt;='🎛️ PANEL DE CONTROL'!B29, "A",
                            IF(P73&gt;='🎛️ PANEL DE CONTROL'!B30, "A-",
                            IF(P73&gt;='🎛️ PANEL DE CONTROL'!B31, "B+",
                            IF(P73&gt;='🎛️ PANEL DE CONTROL'!B32, "B",
                            IF(P73&gt;='🎛️ PANEL DE CONTROL'!B33, "B-",
                            IF(P73&gt;='🎛️ PANEL DE CONTROL'!B34, "C+",
                            IF(P73&gt;='🎛️ PANEL DE CONTROL'!B35, "C",
                            IF(P73&gt;='🎛️ PANEL DE CONTROL'!B36, "C-",
                            IF(P73&gt;='🎛️ PANEL DE CONTROL'!B37, "D", "F"))))))))))</f>
        <v/>
      </c>
      <c r="R73">
        <f>P73-'📊 Datos Originales'!I73</f>
        <v/>
      </c>
    </row>
    <row r="74">
      <c r="A74">
        <f>'📊 Datos Originales'!A74</f>
        <v/>
      </c>
      <c r="B74">
        <f>'📊 Datos Originales'!B74</f>
        <v/>
      </c>
      <c r="C74">
        <f>'📊 Datos Originales'!C74</f>
        <v/>
      </c>
      <c r="D74">
        <f>'📊 Datos Originales'!D74</f>
        <v/>
      </c>
      <c r="E74">
        <f>'📊 Datos Originales'!E74</f>
        <v/>
      </c>
      <c r="F74">
        <f>(C74/600)*'🎛️ PANEL DE CONTROL'!B6</f>
        <v/>
      </c>
      <c r="G74">
        <f>(D74/150)*'🎛️ PANEL DE CONTROL'!B7</f>
        <v/>
      </c>
      <c r="H74">
        <f>(E74/250)*'🎛️ PANEL DE CONTROL'!B8</f>
        <v/>
      </c>
      <c r="I74">
        <f>F74+G74+H74</f>
        <v/>
      </c>
      <c r="J74">
        <f>=IF('📊 Datos Originales'!L74&gt;30, '🎛️ PANEL DE CONTROL'!B13, 0)+=IF('📊 Datos Originales'!N74&gt;80, '🎛️ PANEL DE CONTROL'!B15, 0)</f>
        <v/>
      </c>
      <c r="K74">
        <f>=IF('📊 Datos Originales'!M74&lt;10, '🎛️ PANEL DE CONTROL'!B14, 0)+=IF('📊 Datos Originales'!O74&gt;24, '🎛️ PANEL DE CONTROL'!B16, 0)</f>
        <v/>
      </c>
      <c r="L74">
        <f>MAX(0, MIN(1000, I74-J74+K74))</f>
        <v/>
      </c>
      <c r="M74">
        <f>'📊 Datos Originales'!H74</f>
        <v/>
      </c>
      <c r="N74" s="6">
        <f>IF('📊 Datos Originales'!P74="muy_nuevo", '🎛️ PANEL DE CONTROL'!B20,
                            IF('📊 Datos Originales'!P74="nuevo", '🎛️ PANEL DE CONTROL'!B21,
                            IF('📊 Datos Originales'!P74="intermedio", '🎛️ PANEL DE CONTROL'!B22,
                            IF('📊 Datos Originales'!P74="establecido", '🎛️ PANEL DE CONTROL'!B23,
                            '🎛️ PANEL DE CONTROL'!B24))))</f>
        <v/>
      </c>
      <c r="O74" s="6">
        <f>1-N74</f>
        <v/>
      </c>
      <c r="P74">
        <f>(L74*N74)+(M74*O74)</f>
        <v/>
      </c>
      <c r="Q74">
        <f>IF(P74&gt;='🎛️ PANEL DE CONTROL'!B28, "A+",
                            IF(P74&gt;='🎛️ PANEL DE CONTROL'!B29, "A",
                            IF(P74&gt;='🎛️ PANEL DE CONTROL'!B30, "A-",
                            IF(P74&gt;='🎛️ PANEL DE CONTROL'!B31, "B+",
                            IF(P74&gt;='🎛️ PANEL DE CONTROL'!B32, "B",
                            IF(P74&gt;='🎛️ PANEL DE CONTROL'!B33, "B-",
                            IF(P74&gt;='🎛️ PANEL DE CONTROL'!B34, "C+",
                            IF(P74&gt;='🎛️ PANEL DE CONTROL'!B35, "C",
                            IF(P74&gt;='🎛️ PANEL DE CONTROL'!B36, "C-",
                            IF(P74&gt;='🎛️ PANEL DE CONTROL'!B37, "D", "F"))))))))))</f>
        <v/>
      </c>
      <c r="R74">
        <f>P74-'📊 Datos Originales'!I74</f>
        <v/>
      </c>
    </row>
    <row r="75">
      <c r="A75">
        <f>'📊 Datos Originales'!A75</f>
        <v/>
      </c>
      <c r="B75">
        <f>'📊 Datos Originales'!B75</f>
        <v/>
      </c>
      <c r="C75">
        <f>'📊 Datos Originales'!C75</f>
        <v/>
      </c>
      <c r="D75">
        <f>'📊 Datos Originales'!D75</f>
        <v/>
      </c>
      <c r="E75">
        <f>'📊 Datos Originales'!E75</f>
        <v/>
      </c>
      <c r="F75">
        <f>(C75/600)*'🎛️ PANEL DE CONTROL'!B6</f>
        <v/>
      </c>
      <c r="G75">
        <f>(D75/150)*'🎛️ PANEL DE CONTROL'!B7</f>
        <v/>
      </c>
      <c r="H75">
        <f>(E75/250)*'🎛️ PANEL DE CONTROL'!B8</f>
        <v/>
      </c>
      <c r="I75">
        <f>F75+G75+H75</f>
        <v/>
      </c>
      <c r="J75">
        <f>=IF('📊 Datos Originales'!L75&gt;30, '🎛️ PANEL DE CONTROL'!B13, 0)+=IF('📊 Datos Originales'!N75&gt;80, '🎛️ PANEL DE CONTROL'!B15, 0)</f>
        <v/>
      </c>
      <c r="K75">
        <f>=IF('📊 Datos Originales'!M75&lt;10, '🎛️ PANEL DE CONTROL'!B14, 0)+=IF('📊 Datos Originales'!O75&gt;24, '🎛️ PANEL DE CONTROL'!B16, 0)</f>
        <v/>
      </c>
      <c r="L75">
        <f>MAX(0, MIN(1000, I75-J75+K75))</f>
        <v/>
      </c>
      <c r="M75">
        <f>'📊 Datos Originales'!H75</f>
        <v/>
      </c>
      <c r="N75" s="6">
        <f>IF('📊 Datos Originales'!P75="muy_nuevo", '🎛️ PANEL DE CONTROL'!B20,
                            IF('📊 Datos Originales'!P75="nuevo", '🎛️ PANEL DE CONTROL'!B21,
                            IF('📊 Datos Originales'!P75="intermedio", '🎛️ PANEL DE CONTROL'!B22,
                            IF('📊 Datos Originales'!P75="establecido", '🎛️ PANEL DE CONTROL'!B23,
                            '🎛️ PANEL DE CONTROL'!B24))))</f>
        <v/>
      </c>
      <c r="O75" s="6">
        <f>1-N75</f>
        <v/>
      </c>
      <c r="P75">
        <f>(L75*N75)+(M75*O75)</f>
        <v/>
      </c>
      <c r="Q75">
        <f>IF(P75&gt;='🎛️ PANEL DE CONTROL'!B28, "A+",
                            IF(P75&gt;='🎛️ PANEL DE CONTROL'!B29, "A",
                            IF(P75&gt;='🎛️ PANEL DE CONTROL'!B30, "A-",
                            IF(P75&gt;='🎛️ PANEL DE CONTROL'!B31, "B+",
                            IF(P75&gt;='🎛️ PANEL DE CONTROL'!B32, "B",
                            IF(P75&gt;='🎛️ PANEL DE CONTROL'!B33, "B-",
                            IF(P75&gt;='🎛️ PANEL DE CONTROL'!B34, "C+",
                            IF(P75&gt;='🎛️ PANEL DE CONTROL'!B35, "C",
                            IF(P75&gt;='🎛️ PANEL DE CONTROL'!B36, "C-",
                            IF(P75&gt;='🎛️ PANEL DE CONTROL'!B37, "D", "F"))))))))))</f>
        <v/>
      </c>
      <c r="R75">
        <f>P75-'📊 Datos Originales'!I75</f>
        <v/>
      </c>
    </row>
    <row r="76">
      <c r="A76">
        <f>'📊 Datos Originales'!A76</f>
        <v/>
      </c>
      <c r="B76">
        <f>'📊 Datos Originales'!B76</f>
        <v/>
      </c>
      <c r="C76">
        <f>'📊 Datos Originales'!C76</f>
        <v/>
      </c>
      <c r="D76">
        <f>'📊 Datos Originales'!D76</f>
        <v/>
      </c>
      <c r="E76">
        <f>'📊 Datos Originales'!E76</f>
        <v/>
      </c>
      <c r="F76">
        <f>(C76/600)*'🎛️ PANEL DE CONTROL'!B6</f>
        <v/>
      </c>
      <c r="G76">
        <f>(D76/150)*'🎛️ PANEL DE CONTROL'!B7</f>
        <v/>
      </c>
      <c r="H76">
        <f>(E76/250)*'🎛️ PANEL DE CONTROL'!B8</f>
        <v/>
      </c>
      <c r="I76">
        <f>F76+G76+H76</f>
        <v/>
      </c>
      <c r="J76">
        <f>=IF('📊 Datos Originales'!L76&gt;30, '🎛️ PANEL DE CONTROL'!B13, 0)+=IF('📊 Datos Originales'!N76&gt;80, '🎛️ PANEL DE CONTROL'!B15, 0)</f>
        <v/>
      </c>
      <c r="K76">
        <f>=IF('📊 Datos Originales'!M76&lt;10, '🎛️ PANEL DE CONTROL'!B14, 0)+=IF('📊 Datos Originales'!O76&gt;24, '🎛️ PANEL DE CONTROL'!B16, 0)</f>
        <v/>
      </c>
      <c r="L76">
        <f>MAX(0, MIN(1000, I76-J76+K76))</f>
        <v/>
      </c>
      <c r="M76">
        <f>'📊 Datos Originales'!H76</f>
        <v/>
      </c>
      <c r="N76" s="6">
        <f>IF('📊 Datos Originales'!P76="muy_nuevo", '🎛️ PANEL DE CONTROL'!B20,
                            IF('📊 Datos Originales'!P76="nuevo", '🎛️ PANEL DE CONTROL'!B21,
                            IF('📊 Datos Originales'!P76="intermedio", '🎛️ PANEL DE CONTROL'!B22,
                            IF('📊 Datos Originales'!P76="establecido", '🎛️ PANEL DE CONTROL'!B23,
                            '🎛️ PANEL DE CONTROL'!B24))))</f>
        <v/>
      </c>
      <c r="O76" s="6">
        <f>1-N76</f>
        <v/>
      </c>
      <c r="P76">
        <f>(L76*N76)+(M76*O76)</f>
        <v/>
      </c>
      <c r="Q76">
        <f>IF(P76&gt;='🎛️ PANEL DE CONTROL'!B28, "A+",
                            IF(P76&gt;='🎛️ PANEL DE CONTROL'!B29, "A",
                            IF(P76&gt;='🎛️ PANEL DE CONTROL'!B30, "A-",
                            IF(P76&gt;='🎛️ PANEL DE CONTROL'!B31, "B+",
                            IF(P76&gt;='🎛️ PANEL DE CONTROL'!B32, "B",
                            IF(P76&gt;='🎛️ PANEL DE CONTROL'!B33, "B-",
                            IF(P76&gt;='🎛️ PANEL DE CONTROL'!B34, "C+",
                            IF(P76&gt;='🎛️ PANEL DE CONTROL'!B35, "C",
                            IF(P76&gt;='🎛️ PANEL DE CONTROL'!B36, "C-",
                            IF(P76&gt;='🎛️ PANEL DE CONTROL'!B37, "D", "F"))))))))))</f>
        <v/>
      </c>
      <c r="R76">
        <f>P76-'📊 Datos Originales'!I76</f>
        <v/>
      </c>
    </row>
    <row r="77">
      <c r="A77">
        <f>'📊 Datos Originales'!A77</f>
        <v/>
      </c>
      <c r="B77">
        <f>'📊 Datos Originales'!B77</f>
        <v/>
      </c>
      <c r="C77">
        <f>'📊 Datos Originales'!C77</f>
        <v/>
      </c>
      <c r="D77">
        <f>'📊 Datos Originales'!D77</f>
        <v/>
      </c>
      <c r="E77">
        <f>'📊 Datos Originales'!E77</f>
        <v/>
      </c>
      <c r="F77">
        <f>(C77/600)*'🎛️ PANEL DE CONTROL'!B6</f>
        <v/>
      </c>
      <c r="G77">
        <f>(D77/150)*'🎛️ PANEL DE CONTROL'!B7</f>
        <v/>
      </c>
      <c r="H77">
        <f>(E77/250)*'🎛️ PANEL DE CONTROL'!B8</f>
        <v/>
      </c>
      <c r="I77">
        <f>F77+G77+H77</f>
        <v/>
      </c>
      <c r="J77">
        <f>=IF('📊 Datos Originales'!L77&gt;30, '🎛️ PANEL DE CONTROL'!B13, 0)+=IF('📊 Datos Originales'!N77&gt;80, '🎛️ PANEL DE CONTROL'!B15, 0)</f>
        <v/>
      </c>
      <c r="K77">
        <f>=IF('📊 Datos Originales'!M77&lt;10, '🎛️ PANEL DE CONTROL'!B14, 0)+=IF('📊 Datos Originales'!O77&gt;24, '🎛️ PANEL DE CONTROL'!B16, 0)</f>
        <v/>
      </c>
      <c r="L77">
        <f>MAX(0, MIN(1000, I77-J77+K77))</f>
        <v/>
      </c>
      <c r="M77">
        <f>'📊 Datos Originales'!H77</f>
        <v/>
      </c>
      <c r="N77" s="6">
        <f>IF('📊 Datos Originales'!P77="muy_nuevo", '🎛️ PANEL DE CONTROL'!B20,
                            IF('📊 Datos Originales'!P77="nuevo", '🎛️ PANEL DE CONTROL'!B21,
                            IF('📊 Datos Originales'!P77="intermedio", '🎛️ PANEL DE CONTROL'!B22,
                            IF('📊 Datos Originales'!P77="establecido", '🎛️ PANEL DE CONTROL'!B23,
                            '🎛️ PANEL DE CONTROL'!B24))))</f>
        <v/>
      </c>
      <c r="O77" s="6">
        <f>1-N77</f>
        <v/>
      </c>
      <c r="P77">
        <f>(L77*N77)+(M77*O77)</f>
        <v/>
      </c>
      <c r="Q77">
        <f>IF(P77&gt;='🎛️ PANEL DE CONTROL'!B28, "A+",
                            IF(P77&gt;='🎛️ PANEL DE CONTROL'!B29, "A",
                            IF(P77&gt;='🎛️ PANEL DE CONTROL'!B30, "A-",
                            IF(P77&gt;='🎛️ PANEL DE CONTROL'!B31, "B+",
                            IF(P77&gt;='🎛️ PANEL DE CONTROL'!B32, "B",
                            IF(P77&gt;='🎛️ PANEL DE CONTROL'!B33, "B-",
                            IF(P77&gt;='🎛️ PANEL DE CONTROL'!B34, "C+",
                            IF(P77&gt;='🎛️ PANEL DE CONTROL'!B35, "C",
                            IF(P77&gt;='🎛️ PANEL DE CONTROL'!B36, "C-",
                            IF(P77&gt;='🎛️ PANEL DE CONTROL'!B37, "D", "F"))))))))))</f>
        <v/>
      </c>
      <c r="R77">
        <f>P77-'📊 Datos Originales'!I77</f>
        <v/>
      </c>
    </row>
    <row r="78">
      <c r="A78">
        <f>'📊 Datos Originales'!A78</f>
        <v/>
      </c>
      <c r="B78">
        <f>'📊 Datos Originales'!B78</f>
        <v/>
      </c>
      <c r="C78">
        <f>'📊 Datos Originales'!C78</f>
        <v/>
      </c>
      <c r="D78">
        <f>'📊 Datos Originales'!D78</f>
        <v/>
      </c>
      <c r="E78">
        <f>'📊 Datos Originales'!E78</f>
        <v/>
      </c>
      <c r="F78">
        <f>(C78/600)*'🎛️ PANEL DE CONTROL'!B6</f>
        <v/>
      </c>
      <c r="G78">
        <f>(D78/150)*'🎛️ PANEL DE CONTROL'!B7</f>
        <v/>
      </c>
      <c r="H78">
        <f>(E78/250)*'🎛️ PANEL DE CONTROL'!B8</f>
        <v/>
      </c>
      <c r="I78">
        <f>F78+G78+H78</f>
        <v/>
      </c>
      <c r="J78">
        <f>=IF('📊 Datos Originales'!L78&gt;30, '🎛️ PANEL DE CONTROL'!B13, 0)+=IF('📊 Datos Originales'!N78&gt;80, '🎛️ PANEL DE CONTROL'!B15, 0)</f>
        <v/>
      </c>
      <c r="K78">
        <f>=IF('📊 Datos Originales'!M78&lt;10, '🎛️ PANEL DE CONTROL'!B14, 0)+=IF('📊 Datos Originales'!O78&gt;24, '🎛️ PANEL DE CONTROL'!B16, 0)</f>
        <v/>
      </c>
      <c r="L78">
        <f>MAX(0, MIN(1000, I78-J78+K78))</f>
        <v/>
      </c>
      <c r="M78">
        <f>'📊 Datos Originales'!H78</f>
        <v/>
      </c>
      <c r="N78" s="6">
        <f>IF('📊 Datos Originales'!P78="muy_nuevo", '🎛️ PANEL DE CONTROL'!B20,
                            IF('📊 Datos Originales'!P78="nuevo", '🎛️ PANEL DE CONTROL'!B21,
                            IF('📊 Datos Originales'!P78="intermedio", '🎛️ PANEL DE CONTROL'!B22,
                            IF('📊 Datos Originales'!P78="establecido", '🎛️ PANEL DE CONTROL'!B23,
                            '🎛️ PANEL DE CONTROL'!B24))))</f>
        <v/>
      </c>
      <c r="O78" s="6">
        <f>1-N78</f>
        <v/>
      </c>
      <c r="P78">
        <f>(L78*N78)+(M78*O78)</f>
        <v/>
      </c>
      <c r="Q78">
        <f>IF(P78&gt;='🎛️ PANEL DE CONTROL'!B28, "A+",
                            IF(P78&gt;='🎛️ PANEL DE CONTROL'!B29, "A",
                            IF(P78&gt;='🎛️ PANEL DE CONTROL'!B30, "A-",
                            IF(P78&gt;='🎛️ PANEL DE CONTROL'!B31, "B+",
                            IF(P78&gt;='🎛️ PANEL DE CONTROL'!B32, "B",
                            IF(P78&gt;='🎛️ PANEL DE CONTROL'!B33, "B-",
                            IF(P78&gt;='🎛️ PANEL DE CONTROL'!B34, "C+",
                            IF(P78&gt;='🎛️ PANEL DE CONTROL'!B35, "C",
                            IF(P78&gt;='🎛️ PANEL DE CONTROL'!B36, "C-",
                            IF(P78&gt;='🎛️ PANEL DE CONTROL'!B37, "D", "F"))))))))))</f>
        <v/>
      </c>
      <c r="R78">
        <f>P78-'📊 Datos Originales'!I78</f>
        <v/>
      </c>
    </row>
    <row r="79">
      <c r="A79">
        <f>'📊 Datos Originales'!A79</f>
        <v/>
      </c>
      <c r="B79">
        <f>'📊 Datos Originales'!B79</f>
        <v/>
      </c>
      <c r="C79">
        <f>'📊 Datos Originales'!C79</f>
        <v/>
      </c>
      <c r="D79">
        <f>'📊 Datos Originales'!D79</f>
        <v/>
      </c>
      <c r="E79">
        <f>'📊 Datos Originales'!E79</f>
        <v/>
      </c>
      <c r="F79">
        <f>(C79/600)*'🎛️ PANEL DE CONTROL'!B6</f>
        <v/>
      </c>
      <c r="G79">
        <f>(D79/150)*'🎛️ PANEL DE CONTROL'!B7</f>
        <v/>
      </c>
      <c r="H79">
        <f>(E79/250)*'🎛️ PANEL DE CONTROL'!B8</f>
        <v/>
      </c>
      <c r="I79">
        <f>F79+G79+H79</f>
        <v/>
      </c>
      <c r="J79">
        <f>=IF('📊 Datos Originales'!L79&gt;30, '🎛️ PANEL DE CONTROL'!B13, 0)+=IF('📊 Datos Originales'!N79&gt;80, '🎛️ PANEL DE CONTROL'!B15, 0)</f>
        <v/>
      </c>
      <c r="K79">
        <f>=IF('📊 Datos Originales'!M79&lt;10, '🎛️ PANEL DE CONTROL'!B14, 0)+=IF('📊 Datos Originales'!O79&gt;24, '🎛️ PANEL DE CONTROL'!B16, 0)</f>
        <v/>
      </c>
      <c r="L79">
        <f>MAX(0, MIN(1000, I79-J79+K79))</f>
        <v/>
      </c>
      <c r="M79">
        <f>'📊 Datos Originales'!H79</f>
        <v/>
      </c>
      <c r="N79" s="6">
        <f>IF('📊 Datos Originales'!P79="muy_nuevo", '🎛️ PANEL DE CONTROL'!B20,
                            IF('📊 Datos Originales'!P79="nuevo", '🎛️ PANEL DE CONTROL'!B21,
                            IF('📊 Datos Originales'!P79="intermedio", '🎛️ PANEL DE CONTROL'!B22,
                            IF('📊 Datos Originales'!P79="establecido", '🎛️ PANEL DE CONTROL'!B23,
                            '🎛️ PANEL DE CONTROL'!B24))))</f>
        <v/>
      </c>
      <c r="O79" s="6">
        <f>1-N79</f>
        <v/>
      </c>
      <c r="P79">
        <f>(L79*N79)+(M79*O79)</f>
        <v/>
      </c>
      <c r="Q79">
        <f>IF(P79&gt;='🎛️ PANEL DE CONTROL'!B28, "A+",
                            IF(P79&gt;='🎛️ PANEL DE CONTROL'!B29, "A",
                            IF(P79&gt;='🎛️ PANEL DE CONTROL'!B30, "A-",
                            IF(P79&gt;='🎛️ PANEL DE CONTROL'!B31, "B+",
                            IF(P79&gt;='🎛️ PANEL DE CONTROL'!B32, "B",
                            IF(P79&gt;='🎛️ PANEL DE CONTROL'!B33, "B-",
                            IF(P79&gt;='🎛️ PANEL DE CONTROL'!B34, "C+",
                            IF(P79&gt;='🎛️ PANEL DE CONTROL'!B35, "C",
                            IF(P79&gt;='🎛️ PANEL DE CONTROL'!B36, "C-",
                            IF(P79&gt;='🎛️ PANEL DE CONTROL'!B37, "D", "F"))))))))))</f>
        <v/>
      </c>
      <c r="R79">
        <f>P79-'📊 Datos Originales'!I79</f>
        <v/>
      </c>
    </row>
    <row r="80">
      <c r="A80">
        <f>'📊 Datos Originales'!A80</f>
        <v/>
      </c>
      <c r="B80">
        <f>'📊 Datos Originales'!B80</f>
        <v/>
      </c>
      <c r="C80">
        <f>'📊 Datos Originales'!C80</f>
        <v/>
      </c>
      <c r="D80">
        <f>'📊 Datos Originales'!D80</f>
        <v/>
      </c>
      <c r="E80">
        <f>'📊 Datos Originales'!E80</f>
        <v/>
      </c>
      <c r="F80">
        <f>(C80/600)*'🎛️ PANEL DE CONTROL'!B6</f>
        <v/>
      </c>
      <c r="G80">
        <f>(D80/150)*'🎛️ PANEL DE CONTROL'!B7</f>
        <v/>
      </c>
      <c r="H80">
        <f>(E80/250)*'🎛️ PANEL DE CONTROL'!B8</f>
        <v/>
      </c>
      <c r="I80">
        <f>F80+G80+H80</f>
        <v/>
      </c>
      <c r="J80">
        <f>=IF('📊 Datos Originales'!L80&gt;30, '🎛️ PANEL DE CONTROL'!B13, 0)+=IF('📊 Datos Originales'!N80&gt;80, '🎛️ PANEL DE CONTROL'!B15, 0)</f>
        <v/>
      </c>
      <c r="K80">
        <f>=IF('📊 Datos Originales'!M80&lt;10, '🎛️ PANEL DE CONTROL'!B14, 0)+=IF('📊 Datos Originales'!O80&gt;24, '🎛️ PANEL DE CONTROL'!B16, 0)</f>
        <v/>
      </c>
      <c r="L80">
        <f>MAX(0, MIN(1000, I80-J80+K80))</f>
        <v/>
      </c>
      <c r="M80">
        <f>'📊 Datos Originales'!H80</f>
        <v/>
      </c>
      <c r="N80" s="6">
        <f>IF('📊 Datos Originales'!P80="muy_nuevo", '🎛️ PANEL DE CONTROL'!B20,
                            IF('📊 Datos Originales'!P80="nuevo", '🎛️ PANEL DE CONTROL'!B21,
                            IF('📊 Datos Originales'!P80="intermedio", '🎛️ PANEL DE CONTROL'!B22,
                            IF('📊 Datos Originales'!P80="establecido", '🎛️ PANEL DE CONTROL'!B23,
                            '🎛️ PANEL DE CONTROL'!B24))))</f>
        <v/>
      </c>
      <c r="O80" s="6">
        <f>1-N80</f>
        <v/>
      </c>
      <c r="P80">
        <f>(L80*N80)+(M80*O80)</f>
        <v/>
      </c>
      <c r="Q80">
        <f>IF(P80&gt;='🎛️ PANEL DE CONTROL'!B28, "A+",
                            IF(P80&gt;='🎛️ PANEL DE CONTROL'!B29, "A",
                            IF(P80&gt;='🎛️ PANEL DE CONTROL'!B30, "A-",
                            IF(P80&gt;='🎛️ PANEL DE CONTROL'!B31, "B+",
                            IF(P80&gt;='🎛️ PANEL DE CONTROL'!B32, "B",
                            IF(P80&gt;='🎛️ PANEL DE CONTROL'!B33, "B-",
                            IF(P80&gt;='🎛️ PANEL DE CONTROL'!B34, "C+",
                            IF(P80&gt;='🎛️ PANEL DE CONTROL'!B35, "C",
                            IF(P80&gt;='🎛️ PANEL DE CONTROL'!B36, "C-",
                            IF(P80&gt;='🎛️ PANEL DE CONTROL'!B37, "D", "F"))))))))))</f>
        <v/>
      </c>
      <c r="R80">
        <f>P80-'📊 Datos Originales'!I80</f>
        <v/>
      </c>
    </row>
    <row r="81">
      <c r="A81">
        <f>'📊 Datos Originales'!A81</f>
        <v/>
      </c>
      <c r="B81">
        <f>'📊 Datos Originales'!B81</f>
        <v/>
      </c>
      <c r="C81">
        <f>'📊 Datos Originales'!C81</f>
        <v/>
      </c>
      <c r="D81">
        <f>'📊 Datos Originales'!D81</f>
        <v/>
      </c>
      <c r="E81">
        <f>'📊 Datos Originales'!E81</f>
        <v/>
      </c>
      <c r="F81">
        <f>(C81/600)*'🎛️ PANEL DE CONTROL'!B6</f>
        <v/>
      </c>
      <c r="G81">
        <f>(D81/150)*'🎛️ PANEL DE CONTROL'!B7</f>
        <v/>
      </c>
      <c r="H81">
        <f>(E81/250)*'🎛️ PANEL DE CONTROL'!B8</f>
        <v/>
      </c>
      <c r="I81">
        <f>F81+G81+H81</f>
        <v/>
      </c>
      <c r="J81">
        <f>=IF('📊 Datos Originales'!L81&gt;30, '🎛️ PANEL DE CONTROL'!B13, 0)+=IF('📊 Datos Originales'!N81&gt;80, '🎛️ PANEL DE CONTROL'!B15, 0)</f>
        <v/>
      </c>
      <c r="K81">
        <f>=IF('📊 Datos Originales'!M81&lt;10, '🎛️ PANEL DE CONTROL'!B14, 0)+=IF('📊 Datos Originales'!O81&gt;24, '🎛️ PANEL DE CONTROL'!B16, 0)</f>
        <v/>
      </c>
      <c r="L81">
        <f>MAX(0, MIN(1000, I81-J81+K81))</f>
        <v/>
      </c>
      <c r="M81">
        <f>'📊 Datos Originales'!H81</f>
        <v/>
      </c>
      <c r="N81" s="6">
        <f>IF('📊 Datos Originales'!P81="muy_nuevo", '🎛️ PANEL DE CONTROL'!B20,
                            IF('📊 Datos Originales'!P81="nuevo", '🎛️ PANEL DE CONTROL'!B21,
                            IF('📊 Datos Originales'!P81="intermedio", '🎛️ PANEL DE CONTROL'!B22,
                            IF('📊 Datos Originales'!P81="establecido", '🎛️ PANEL DE CONTROL'!B23,
                            '🎛️ PANEL DE CONTROL'!B24))))</f>
        <v/>
      </c>
      <c r="O81" s="6">
        <f>1-N81</f>
        <v/>
      </c>
      <c r="P81">
        <f>(L81*N81)+(M81*O81)</f>
        <v/>
      </c>
      <c r="Q81">
        <f>IF(P81&gt;='🎛️ PANEL DE CONTROL'!B28, "A+",
                            IF(P81&gt;='🎛️ PANEL DE CONTROL'!B29, "A",
                            IF(P81&gt;='🎛️ PANEL DE CONTROL'!B30, "A-",
                            IF(P81&gt;='🎛️ PANEL DE CONTROL'!B31, "B+",
                            IF(P81&gt;='🎛️ PANEL DE CONTROL'!B32, "B",
                            IF(P81&gt;='🎛️ PANEL DE CONTROL'!B33, "B-",
                            IF(P81&gt;='🎛️ PANEL DE CONTROL'!B34, "C+",
                            IF(P81&gt;='🎛️ PANEL DE CONTROL'!B35, "C",
                            IF(P81&gt;='🎛️ PANEL DE CONTROL'!B36, "C-",
                            IF(P81&gt;='🎛️ PANEL DE CONTROL'!B37, "D", "F"))))))))))</f>
        <v/>
      </c>
      <c r="R81">
        <f>P81-'📊 Datos Originales'!I81</f>
        <v/>
      </c>
    </row>
    <row r="82">
      <c r="A82">
        <f>'📊 Datos Originales'!A82</f>
        <v/>
      </c>
      <c r="B82">
        <f>'📊 Datos Originales'!B82</f>
        <v/>
      </c>
      <c r="C82">
        <f>'📊 Datos Originales'!C82</f>
        <v/>
      </c>
      <c r="D82">
        <f>'📊 Datos Originales'!D82</f>
        <v/>
      </c>
      <c r="E82">
        <f>'📊 Datos Originales'!E82</f>
        <v/>
      </c>
      <c r="F82">
        <f>(C82/600)*'🎛️ PANEL DE CONTROL'!B6</f>
        <v/>
      </c>
      <c r="G82">
        <f>(D82/150)*'🎛️ PANEL DE CONTROL'!B7</f>
        <v/>
      </c>
      <c r="H82">
        <f>(E82/250)*'🎛️ PANEL DE CONTROL'!B8</f>
        <v/>
      </c>
      <c r="I82">
        <f>F82+G82+H82</f>
        <v/>
      </c>
      <c r="J82">
        <f>=IF('📊 Datos Originales'!L82&gt;30, '🎛️ PANEL DE CONTROL'!B13, 0)+=IF('📊 Datos Originales'!N82&gt;80, '🎛️ PANEL DE CONTROL'!B15, 0)</f>
        <v/>
      </c>
      <c r="K82">
        <f>=IF('📊 Datos Originales'!M82&lt;10, '🎛️ PANEL DE CONTROL'!B14, 0)+=IF('📊 Datos Originales'!O82&gt;24, '🎛️ PANEL DE CONTROL'!B16, 0)</f>
        <v/>
      </c>
      <c r="L82">
        <f>MAX(0, MIN(1000, I82-J82+K82))</f>
        <v/>
      </c>
      <c r="M82">
        <f>'📊 Datos Originales'!H82</f>
        <v/>
      </c>
      <c r="N82" s="6">
        <f>IF('📊 Datos Originales'!P82="muy_nuevo", '🎛️ PANEL DE CONTROL'!B20,
                            IF('📊 Datos Originales'!P82="nuevo", '🎛️ PANEL DE CONTROL'!B21,
                            IF('📊 Datos Originales'!P82="intermedio", '🎛️ PANEL DE CONTROL'!B22,
                            IF('📊 Datos Originales'!P82="establecido", '🎛️ PANEL DE CONTROL'!B23,
                            '🎛️ PANEL DE CONTROL'!B24))))</f>
        <v/>
      </c>
      <c r="O82" s="6">
        <f>1-N82</f>
        <v/>
      </c>
      <c r="P82">
        <f>(L82*N82)+(M82*O82)</f>
        <v/>
      </c>
      <c r="Q82">
        <f>IF(P82&gt;='🎛️ PANEL DE CONTROL'!B28, "A+",
                            IF(P82&gt;='🎛️ PANEL DE CONTROL'!B29, "A",
                            IF(P82&gt;='🎛️ PANEL DE CONTROL'!B30, "A-",
                            IF(P82&gt;='🎛️ PANEL DE CONTROL'!B31, "B+",
                            IF(P82&gt;='🎛️ PANEL DE CONTROL'!B32, "B",
                            IF(P82&gt;='🎛️ PANEL DE CONTROL'!B33, "B-",
                            IF(P82&gt;='🎛️ PANEL DE CONTROL'!B34, "C+",
                            IF(P82&gt;='🎛️ PANEL DE CONTROL'!B35, "C",
                            IF(P82&gt;='🎛️ PANEL DE CONTROL'!B36, "C-",
                            IF(P82&gt;='🎛️ PANEL DE CONTROL'!B37, "D", "F"))))))))))</f>
        <v/>
      </c>
      <c r="R82">
        <f>P82-'📊 Datos Originales'!I82</f>
        <v/>
      </c>
    </row>
    <row r="83">
      <c r="A83">
        <f>'📊 Datos Originales'!A83</f>
        <v/>
      </c>
      <c r="B83">
        <f>'📊 Datos Originales'!B83</f>
        <v/>
      </c>
      <c r="C83">
        <f>'📊 Datos Originales'!C83</f>
        <v/>
      </c>
      <c r="D83">
        <f>'📊 Datos Originales'!D83</f>
        <v/>
      </c>
      <c r="E83">
        <f>'📊 Datos Originales'!E83</f>
        <v/>
      </c>
      <c r="F83">
        <f>(C83/600)*'🎛️ PANEL DE CONTROL'!B6</f>
        <v/>
      </c>
      <c r="G83">
        <f>(D83/150)*'🎛️ PANEL DE CONTROL'!B7</f>
        <v/>
      </c>
      <c r="H83">
        <f>(E83/250)*'🎛️ PANEL DE CONTROL'!B8</f>
        <v/>
      </c>
      <c r="I83">
        <f>F83+G83+H83</f>
        <v/>
      </c>
      <c r="J83">
        <f>=IF('📊 Datos Originales'!L83&gt;30, '🎛️ PANEL DE CONTROL'!B13, 0)+=IF('📊 Datos Originales'!N83&gt;80, '🎛️ PANEL DE CONTROL'!B15, 0)</f>
        <v/>
      </c>
      <c r="K83">
        <f>=IF('📊 Datos Originales'!M83&lt;10, '🎛️ PANEL DE CONTROL'!B14, 0)+=IF('📊 Datos Originales'!O83&gt;24, '🎛️ PANEL DE CONTROL'!B16, 0)</f>
        <v/>
      </c>
      <c r="L83">
        <f>MAX(0, MIN(1000, I83-J83+K83))</f>
        <v/>
      </c>
      <c r="M83">
        <f>'📊 Datos Originales'!H83</f>
        <v/>
      </c>
      <c r="N83" s="6">
        <f>IF('📊 Datos Originales'!P83="muy_nuevo", '🎛️ PANEL DE CONTROL'!B20,
                            IF('📊 Datos Originales'!P83="nuevo", '🎛️ PANEL DE CONTROL'!B21,
                            IF('📊 Datos Originales'!P83="intermedio", '🎛️ PANEL DE CONTROL'!B22,
                            IF('📊 Datos Originales'!P83="establecido", '🎛️ PANEL DE CONTROL'!B23,
                            '🎛️ PANEL DE CONTROL'!B24))))</f>
        <v/>
      </c>
      <c r="O83" s="6">
        <f>1-N83</f>
        <v/>
      </c>
      <c r="P83">
        <f>(L83*N83)+(M83*O83)</f>
        <v/>
      </c>
      <c r="Q83">
        <f>IF(P83&gt;='🎛️ PANEL DE CONTROL'!B28, "A+",
                            IF(P83&gt;='🎛️ PANEL DE CONTROL'!B29, "A",
                            IF(P83&gt;='🎛️ PANEL DE CONTROL'!B30, "A-",
                            IF(P83&gt;='🎛️ PANEL DE CONTROL'!B31, "B+",
                            IF(P83&gt;='🎛️ PANEL DE CONTROL'!B32, "B",
                            IF(P83&gt;='🎛️ PANEL DE CONTROL'!B33, "B-",
                            IF(P83&gt;='🎛️ PANEL DE CONTROL'!B34, "C+",
                            IF(P83&gt;='🎛️ PANEL DE CONTROL'!B35, "C",
                            IF(P83&gt;='🎛️ PANEL DE CONTROL'!B36, "C-",
                            IF(P83&gt;='🎛️ PANEL DE CONTROL'!B37, "D", "F"))))))))))</f>
        <v/>
      </c>
      <c r="R83">
        <f>P83-'📊 Datos Originales'!I83</f>
        <v/>
      </c>
    </row>
    <row r="84">
      <c r="A84">
        <f>'📊 Datos Originales'!A84</f>
        <v/>
      </c>
      <c r="B84">
        <f>'📊 Datos Originales'!B84</f>
        <v/>
      </c>
      <c r="C84">
        <f>'📊 Datos Originales'!C84</f>
        <v/>
      </c>
      <c r="D84">
        <f>'📊 Datos Originales'!D84</f>
        <v/>
      </c>
      <c r="E84">
        <f>'📊 Datos Originales'!E84</f>
        <v/>
      </c>
      <c r="F84">
        <f>(C84/600)*'🎛️ PANEL DE CONTROL'!B6</f>
        <v/>
      </c>
      <c r="G84">
        <f>(D84/150)*'🎛️ PANEL DE CONTROL'!B7</f>
        <v/>
      </c>
      <c r="H84">
        <f>(E84/250)*'🎛️ PANEL DE CONTROL'!B8</f>
        <v/>
      </c>
      <c r="I84">
        <f>F84+G84+H84</f>
        <v/>
      </c>
      <c r="J84">
        <f>=IF('📊 Datos Originales'!L84&gt;30, '🎛️ PANEL DE CONTROL'!B13, 0)+=IF('📊 Datos Originales'!N84&gt;80, '🎛️ PANEL DE CONTROL'!B15, 0)</f>
        <v/>
      </c>
      <c r="K84">
        <f>=IF('📊 Datos Originales'!M84&lt;10, '🎛️ PANEL DE CONTROL'!B14, 0)+=IF('📊 Datos Originales'!O84&gt;24, '🎛️ PANEL DE CONTROL'!B16, 0)</f>
        <v/>
      </c>
      <c r="L84">
        <f>MAX(0, MIN(1000, I84-J84+K84))</f>
        <v/>
      </c>
      <c r="M84">
        <f>'📊 Datos Originales'!H84</f>
        <v/>
      </c>
      <c r="N84" s="6">
        <f>IF('📊 Datos Originales'!P84="muy_nuevo", '🎛️ PANEL DE CONTROL'!B20,
                            IF('📊 Datos Originales'!P84="nuevo", '🎛️ PANEL DE CONTROL'!B21,
                            IF('📊 Datos Originales'!P84="intermedio", '🎛️ PANEL DE CONTROL'!B22,
                            IF('📊 Datos Originales'!P84="establecido", '🎛️ PANEL DE CONTROL'!B23,
                            '🎛️ PANEL DE CONTROL'!B24))))</f>
        <v/>
      </c>
      <c r="O84" s="6">
        <f>1-N84</f>
        <v/>
      </c>
      <c r="P84">
        <f>(L84*N84)+(M84*O84)</f>
        <v/>
      </c>
      <c r="Q84">
        <f>IF(P84&gt;='🎛️ PANEL DE CONTROL'!B28, "A+",
                            IF(P84&gt;='🎛️ PANEL DE CONTROL'!B29, "A",
                            IF(P84&gt;='🎛️ PANEL DE CONTROL'!B30, "A-",
                            IF(P84&gt;='🎛️ PANEL DE CONTROL'!B31, "B+",
                            IF(P84&gt;='🎛️ PANEL DE CONTROL'!B32, "B",
                            IF(P84&gt;='🎛️ PANEL DE CONTROL'!B33, "B-",
                            IF(P84&gt;='🎛️ PANEL DE CONTROL'!B34, "C+",
                            IF(P84&gt;='🎛️ PANEL DE CONTROL'!B35, "C",
                            IF(P84&gt;='🎛️ PANEL DE CONTROL'!B36, "C-",
                            IF(P84&gt;='🎛️ PANEL DE CONTROL'!B37, "D", "F"))))))))))</f>
        <v/>
      </c>
      <c r="R84">
        <f>P84-'📊 Datos Originales'!I84</f>
        <v/>
      </c>
    </row>
    <row r="85">
      <c r="A85">
        <f>'📊 Datos Originales'!A85</f>
        <v/>
      </c>
      <c r="B85">
        <f>'📊 Datos Originales'!B85</f>
        <v/>
      </c>
      <c r="C85">
        <f>'📊 Datos Originales'!C85</f>
        <v/>
      </c>
      <c r="D85">
        <f>'📊 Datos Originales'!D85</f>
        <v/>
      </c>
      <c r="E85">
        <f>'📊 Datos Originales'!E85</f>
        <v/>
      </c>
      <c r="F85">
        <f>(C85/600)*'🎛️ PANEL DE CONTROL'!B6</f>
        <v/>
      </c>
      <c r="G85">
        <f>(D85/150)*'🎛️ PANEL DE CONTROL'!B7</f>
        <v/>
      </c>
      <c r="H85">
        <f>(E85/250)*'🎛️ PANEL DE CONTROL'!B8</f>
        <v/>
      </c>
      <c r="I85">
        <f>F85+G85+H85</f>
        <v/>
      </c>
      <c r="J85">
        <f>=IF('📊 Datos Originales'!L85&gt;30, '🎛️ PANEL DE CONTROL'!B13, 0)+=IF('📊 Datos Originales'!N85&gt;80, '🎛️ PANEL DE CONTROL'!B15, 0)</f>
        <v/>
      </c>
      <c r="K85">
        <f>=IF('📊 Datos Originales'!M85&lt;10, '🎛️ PANEL DE CONTROL'!B14, 0)+=IF('📊 Datos Originales'!O85&gt;24, '🎛️ PANEL DE CONTROL'!B16, 0)</f>
        <v/>
      </c>
      <c r="L85">
        <f>MAX(0, MIN(1000, I85-J85+K85))</f>
        <v/>
      </c>
      <c r="M85">
        <f>'📊 Datos Originales'!H85</f>
        <v/>
      </c>
      <c r="N85" s="6">
        <f>IF('📊 Datos Originales'!P85="muy_nuevo", '🎛️ PANEL DE CONTROL'!B20,
                            IF('📊 Datos Originales'!P85="nuevo", '🎛️ PANEL DE CONTROL'!B21,
                            IF('📊 Datos Originales'!P85="intermedio", '🎛️ PANEL DE CONTROL'!B22,
                            IF('📊 Datos Originales'!P85="establecido", '🎛️ PANEL DE CONTROL'!B23,
                            '🎛️ PANEL DE CONTROL'!B24))))</f>
        <v/>
      </c>
      <c r="O85" s="6">
        <f>1-N85</f>
        <v/>
      </c>
      <c r="P85">
        <f>(L85*N85)+(M85*O85)</f>
        <v/>
      </c>
      <c r="Q85">
        <f>IF(P85&gt;='🎛️ PANEL DE CONTROL'!B28, "A+",
                            IF(P85&gt;='🎛️ PANEL DE CONTROL'!B29, "A",
                            IF(P85&gt;='🎛️ PANEL DE CONTROL'!B30, "A-",
                            IF(P85&gt;='🎛️ PANEL DE CONTROL'!B31, "B+",
                            IF(P85&gt;='🎛️ PANEL DE CONTROL'!B32, "B",
                            IF(P85&gt;='🎛️ PANEL DE CONTROL'!B33, "B-",
                            IF(P85&gt;='🎛️ PANEL DE CONTROL'!B34, "C+",
                            IF(P85&gt;='🎛️ PANEL DE CONTROL'!B35, "C",
                            IF(P85&gt;='🎛️ PANEL DE CONTROL'!B36, "C-",
                            IF(P85&gt;='🎛️ PANEL DE CONTROL'!B37, "D", "F"))))))))))</f>
        <v/>
      </c>
      <c r="R85">
        <f>P85-'📊 Datos Originales'!I85</f>
        <v/>
      </c>
    </row>
    <row r="86">
      <c r="A86">
        <f>'📊 Datos Originales'!A86</f>
        <v/>
      </c>
      <c r="B86">
        <f>'📊 Datos Originales'!B86</f>
        <v/>
      </c>
      <c r="C86">
        <f>'📊 Datos Originales'!C86</f>
        <v/>
      </c>
      <c r="D86">
        <f>'📊 Datos Originales'!D86</f>
        <v/>
      </c>
      <c r="E86">
        <f>'📊 Datos Originales'!E86</f>
        <v/>
      </c>
      <c r="F86">
        <f>(C86/600)*'🎛️ PANEL DE CONTROL'!B6</f>
        <v/>
      </c>
      <c r="G86">
        <f>(D86/150)*'🎛️ PANEL DE CONTROL'!B7</f>
        <v/>
      </c>
      <c r="H86">
        <f>(E86/250)*'🎛️ PANEL DE CONTROL'!B8</f>
        <v/>
      </c>
      <c r="I86">
        <f>F86+G86+H86</f>
        <v/>
      </c>
      <c r="J86">
        <f>=IF('📊 Datos Originales'!L86&gt;30, '🎛️ PANEL DE CONTROL'!B13, 0)+=IF('📊 Datos Originales'!N86&gt;80, '🎛️ PANEL DE CONTROL'!B15, 0)</f>
        <v/>
      </c>
      <c r="K86">
        <f>=IF('📊 Datos Originales'!M86&lt;10, '🎛️ PANEL DE CONTROL'!B14, 0)+=IF('📊 Datos Originales'!O86&gt;24, '🎛️ PANEL DE CONTROL'!B16, 0)</f>
        <v/>
      </c>
      <c r="L86">
        <f>MAX(0, MIN(1000, I86-J86+K86))</f>
        <v/>
      </c>
      <c r="M86">
        <f>'📊 Datos Originales'!H86</f>
        <v/>
      </c>
      <c r="N86" s="6">
        <f>IF('📊 Datos Originales'!P86="muy_nuevo", '🎛️ PANEL DE CONTROL'!B20,
                            IF('📊 Datos Originales'!P86="nuevo", '🎛️ PANEL DE CONTROL'!B21,
                            IF('📊 Datos Originales'!P86="intermedio", '🎛️ PANEL DE CONTROL'!B22,
                            IF('📊 Datos Originales'!P86="establecido", '🎛️ PANEL DE CONTROL'!B23,
                            '🎛️ PANEL DE CONTROL'!B24))))</f>
        <v/>
      </c>
      <c r="O86" s="6">
        <f>1-N86</f>
        <v/>
      </c>
      <c r="P86">
        <f>(L86*N86)+(M86*O86)</f>
        <v/>
      </c>
      <c r="Q86">
        <f>IF(P86&gt;='🎛️ PANEL DE CONTROL'!B28, "A+",
                            IF(P86&gt;='🎛️ PANEL DE CONTROL'!B29, "A",
                            IF(P86&gt;='🎛️ PANEL DE CONTROL'!B30, "A-",
                            IF(P86&gt;='🎛️ PANEL DE CONTROL'!B31, "B+",
                            IF(P86&gt;='🎛️ PANEL DE CONTROL'!B32, "B",
                            IF(P86&gt;='🎛️ PANEL DE CONTROL'!B33, "B-",
                            IF(P86&gt;='🎛️ PANEL DE CONTROL'!B34, "C+",
                            IF(P86&gt;='🎛️ PANEL DE CONTROL'!B35, "C",
                            IF(P86&gt;='🎛️ PANEL DE CONTROL'!B36, "C-",
                            IF(P86&gt;='🎛️ PANEL DE CONTROL'!B37, "D", "F"))))))))))</f>
        <v/>
      </c>
      <c r="R86">
        <f>P86-'📊 Datos Originales'!I86</f>
        <v/>
      </c>
    </row>
    <row r="87">
      <c r="A87">
        <f>'📊 Datos Originales'!A87</f>
        <v/>
      </c>
      <c r="B87">
        <f>'📊 Datos Originales'!B87</f>
        <v/>
      </c>
      <c r="C87">
        <f>'📊 Datos Originales'!C87</f>
        <v/>
      </c>
      <c r="D87">
        <f>'📊 Datos Originales'!D87</f>
        <v/>
      </c>
      <c r="E87">
        <f>'📊 Datos Originales'!E87</f>
        <v/>
      </c>
      <c r="F87">
        <f>(C87/600)*'🎛️ PANEL DE CONTROL'!B6</f>
        <v/>
      </c>
      <c r="G87">
        <f>(D87/150)*'🎛️ PANEL DE CONTROL'!B7</f>
        <v/>
      </c>
      <c r="H87">
        <f>(E87/250)*'🎛️ PANEL DE CONTROL'!B8</f>
        <v/>
      </c>
      <c r="I87">
        <f>F87+G87+H87</f>
        <v/>
      </c>
      <c r="J87">
        <f>=IF('📊 Datos Originales'!L87&gt;30, '🎛️ PANEL DE CONTROL'!B13, 0)+=IF('📊 Datos Originales'!N87&gt;80, '🎛️ PANEL DE CONTROL'!B15, 0)</f>
        <v/>
      </c>
      <c r="K87">
        <f>=IF('📊 Datos Originales'!M87&lt;10, '🎛️ PANEL DE CONTROL'!B14, 0)+=IF('📊 Datos Originales'!O87&gt;24, '🎛️ PANEL DE CONTROL'!B16, 0)</f>
        <v/>
      </c>
      <c r="L87">
        <f>MAX(0, MIN(1000, I87-J87+K87))</f>
        <v/>
      </c>
      <c r="M87">
        <f>'📊 Datos Originales'!H87</f>
        <v/>
      </c>
      <c r="N87" s="6">
        <f>IF('📊 Datos Originales'!P87="muy_nuevo", '🎛️ PANEL DE CONTROL'!B20,
                            IF('📊 Datos Originales'!P87="nuevo", '🎛️ PANEL DE CONTROL'!B21,
                            IF('📊 Datos Originales'!P87="intermedio", '🎛️ PANEL DE CONTROL'!B22,
                            IF('📊 Datos Originales'!P87="establecido", '🎛️ PANEL DE CONTROL'!B23,
                            '🎛️ PANEL DE CONTROL'!B24))))</f>
        <v/>
      </c>
      <c r="O87" s="6">
        <f>1-N87</f>
        <v/>
      </c>
      <c r="P87">
        <f>(L87*N87)+(M87*O87)</f>
        <v/>
      </c>
      <c r="Q87">
        <f>IF(P87&gt;='🎛️ PANEL DE CONTROL'!B28, "A+",
                            IF(P87&gt;='🎛️ PANEL DE CONTROL'!B29, "A",
                            IF(P87&gt;='🎛️ PANEL DE CONTROL'!B30, "A-",
                            IF(P87&gt;='🎛️ PANEL DE CONTROL'!B31, "B+",
                            IF(P87&gt;='🎛️ PANEL DE CONTROL'!B32, "B",
                            IF(P87&gt;='🎛️ PANEL DE CONTROL'!B33, "B-",
                            IF(P87&gt;='🎛️ PANEL DE CONTROL'!B34, "C+",
                            IF(P87&gt;='🎛️ PANEL DE CONTROL'!B35, "C",
                            IF(P87&gt;='🎛️ PANEL DE CONTROL'!B36, "C-",
                            IF(P87&gt;='🎛️ PANEL DE CONTROL'!B37, "D", "F"))))))))))</f>
        <v/>
      </c>
      <c r="R87">
        <f>P87-'📊 Datos Originales'!I87</f>
        <v/>
      </c>
    </row>
    <row r="88">
      <c r="A88">
        <f>'📊 Datos Originales'!A88</f>
        <v/>
      </c>
      <c r="B88">
        <f>'📊 Datos Originales'!B88</f>
        <v/>
      </c>
      <c r="C88">
        <f>'📊 Datos Originales'!C88</f>
        <v/>
      </c>
      <c r="D88">
        <f>'📊 Datos Originales'!D88</f>
        <v/>
      </c>
      <c r="E88">
        <f>'📊 Datos Originales'!E88</f>
        <v/>
      </c>
      <c r="F88">
        <f>(C88/600)*'🎛️ PANEL DE CONTROL'!B6</f>
        <v/>
      </c>
      <c r="G88">
        <f>(D88/150)*'🎛️ PANEL DE CONTROL'!B7</f>
        <v/>
      </c>
      <c r="H88">
        <f>(E88/250)*'🎛️ PANEL DE CONTROL'!B8</f>
        <v/>
      </c>
      <c r="I88">
        <f>F88+G88+H88</f>
        <v/>
      </c>
      <c r="J88">
        <f>=IF('📊 Datos Originales'!L88&gt;30, '🎛️ PANEL DE CONTROL'!B13, 0)+=IF('📊 Datos Originales'!N88&gt;80, '🎛️ PANEL DE CONTROL'!B15, 0)</f>
        <v/>
      </c>
      <c r="K88">
        <f>=IF('📊 Datos Originales'!M88&lt;10, '🎛️ PANEL DE CONTROL'!B14, 0)+=IF('📊 Datos Originales'!O88&gt;24, '🎛️ PANEL DE CONTROL'!B16, 0)</f>
        <v/>
      </c>
      <c r="L88">
        <f>MAX(0, MIN(1000, I88-J88+K88))</f>
        <v/>
      </c>
      <c r="M88">
        <f>'📊 Datos Originales'!H88</f>
        <v/>
      </c>
      <c r="N88" s="6">
        <f>IF('📊 Datos Originales'!P88="muy_nuevo", '🎛️ PANEL DE CONTROL'!B20,
                            IF('📊 Datos Originales'!P88="nuevo", '🎛️ PANEL DE CONTROL'!B21,
                            IF('📊 Datos Originales'!P88="intermedio", '🎛️ PANEL DE CONTROL'!B22,
                            IF('📊 Datos Originales'!P88="establecido", '🎛️ PANEL DE CONTROL'!B23,
                            '🎛️ PANEL DE CONTROL'!B24))))</f>
        <v/>
      </c>
      <c r="O88" s="6">
        <f>1-N88</f>
        <v/>
      </c>
      <c r="P88">
        <f>(L88*N88)+(M88*O88)</f>
        <v/>
      </c>
      <c r="Q88">
        <f>IF(P88&gt;='🎛️ PANEL DE CONTROL'!B28, "A+",
                            IF(P88&gt;='🎛️ PANEL DE CONTROL'!B29, "A",
                            IF(P88&gt;='🎛️ PANEL DE CONTROL'!B30, "A-",
                            IF(P88&gt;='🎛️ PANEL DE CONTROL'!B31, "B+",
                            IF(P88&gt;='🎛️ PANEL DE CONTROL'!B32, "B",
                            IF(P88&gt;='🎛️ PANEL DE CONTROL'!B33, "B-",
                            IF(P88&gt;='🎛️ PANEL DE CONTROL'!B34, "C+",
                            IF(P88&gt;='🎛️ PANEL DE CONTROL'!B35, "C",
                            IF(P88&gt;='🎛️ PANEL DE CONTROL'!B36, "C-",
                            IF(P88&gt;='🎛️ PANEL DE CONTROL'!B37, "D", "F"))))))))))</f>
        <v/>
      </c>
      <c r="R88">
        <f>P88-'📊 Datos Originales'!I88</f>
        <v/>
      </c>
    </row>
    <row r="89">
      <c r="A89">
        <f>'📊 Datos Originales'!A89</f>
        <v/>
      </c>
      <c r="B89">
        <f>'📊 Datos Originales'!B89</f>
        <v/>
      </c>
      <c r="C89">
        <f>'📊 Datos Originales'!C89</f>
        <v/>
      </c>
      <c r="D89">
        <f>'📊 Datos Originales'!D89</f>
        <v/>
      </c>
      <c r="E89">
        <f>'📊 Datos Originales'!E89</f>
        <v/>
      </c>
      <c r="F89">
        <f>(C89/600)*'🎛️ PANEL DE CONTROL'!B6</f>
        <v/>
      </c>
      <c r="G89">
        <f>(D89/150)*'🎛️ PANEL DE CONTROL'!B7</f>
        <v/>
      </c>
      <c r="H89">
        <f>(E89/250)*'🎛️ PANEL DE CONTROL'!B8</f>
        <v/>
      </c>
      <c r="I89">
        <f>F89+G89+H89</f>
        <v/>
      </c>
      <c r="J89">
        <f>=IF('📊 Datos Originales'!L89&gt;30, '🎛️ PANEL DE CONTROL'!B13, 0)+=IF('📊 Datos Originales'!N89&gt;80, '🎛️ PANEL DE CONTROL'!B15, 0)</f>
        <v/>
      </c>
      <c r="K89">
        <f>=IF('📊 Datos Originales'!M89&lt;10, '🎛️ PANEL DE CONTROL'!B14, 0)+=IF('📊 Datos Originales'!O89&gt;24, '🎛️ PANEL DE CONTROL'!B16, 0)</f>
        <v/>
      </c>
      <c r="L89">
        <f>MAX(0, MIN(1000, I89-J89+K89))</f>
        <v/>
      </c>
      <c r="M89">
        <f>'📊 Datos Originales'!H89</f>
        <v/>
      </c>
      <c r="N89" s="6">
        <f>IF('📊 Datos Originales'!P89="muy_nuevo", '🎛️ PANEL DE CONTROL'!B20,
                            IF('📊 Datos Originales'!P89="nuevo", '🎛️ PANEL DE CONTROL'!B21,
                            IF('📊 Datos Originales'!P89="intermedio", '🎛️ PANEL DE CONTROL'!B22,
                            IF('📊 Datos Originales'!P89="establecido", '🎛️ PANEL DE CONTROL'!B23,
                            '🎛️ PANEL DE CONTROL'!B24))))</f>
        <v/>
      </c>
      <c r="O89" s="6">
        <f>1-N89</f>
        <v/>
      </c>
      <c r="P89">
        <f>(L89*N89)+(M89*O89)</f>
        <v/>
      </c>
      <c r="Q89">
        <f>IF(P89&gt;='🎛️ PANEL DE CONTROL'!B28, "A+",
                            IF(P89&gt;='🎛️ PANEL DE CONTROL'!B29, "A",
                            IF(P89&gt;='🎛️ PANEL DE CONTROL'!B30, "A-",
                            IF(P89&gt;='🎛️ PANEL DE CONTROL'!B31, "B+",
                            IF(P89&gt;='🎛️ PANEL DE CONTROL'!B32, "B",
                            IF(P89&gt;='🎛️ PANEL DE CONTROL'!B33, "B-",
                            IF(P89&gt;='🎛️ PANEL DE CONTROL'!B34, "C+",
                            IF(P89&gt;='🎛️ PANEL DE CONTROL'!B35, "C",
                            IF(P89&gt;='🎛️ PANEL DE CONTROL'!B36, "C-",
                            IF(P89&gt;='🎛️ PANEL DE CONTROL'!B37, "D", "F"))))))))))</f>
        <v/>
      </c>
      <c r="R89">
        <f>P89-'📊 Datos Originales'!I89</f>
        <v/>
      </c>
    </row>
    <row r="90">
      <c r="A90">
        <f>'📊 Datos Originales'!A90</f>
        <v/>
      </c>
      <c r="B90">
        <f>'📊 Datos Originales'!B90</f>
        <v/>
      </c>
      <c r="C90">
        <f>'📊 Datos Originales'!C90</f>
        <v/>
      </c>
      <c r="D90">
        <f>'📊 Datos Originales'!D90</f>
        <v/>
      </c>
      <c r="E90">
        <f>'📊 Datos Originales'!E90</f>
        <v/>
      </c>
      <c r="F90">
        <f>(C90/600)*'🎛️ PANEL DE CONTROL'!B6</f>
        <v/>
      </c>
      <c r="G90">
        <f>(D90/150)*'🎛️ PANEL DE CONTROL'!B7</f>
        <v/>
      </c>
      <c r="H90">
        <f>(E90/250)*'🎛️ PANEL DE CONTROL'!B8</f>
        <v/>
      </c>
      <c r="I90">
        <f>F90+G90+H90</f>
        <v/>
      </c>
      <c r="J90">
        <f>=IF('📊 Datos Originales'!L90&gt;30, '🎛️ PANEL DE CONTROL'!B13, 0)+=IF('📊 Datos Originales'!N90&gt;80, '🎛️ PANEL DE CONTROL'!B15, 0)</f>
        <v/>
      </c>
      <c r="K90">
        <f>=IF('📊 Datos Originales'!M90&lt;10, '🎛️ PANEL DE CONTROL'!B14, 0)+=IF('📊 Datos Originales'!O90&gt;24, '🎛️ PANEL DE CONTROL'!B16, 0)</f>
        <v/>
      </c>
      <c r="L90">
        <f>MAX(0, MIN(1000, I90-J90+K90))</f>
        <v/>
      </c>
      <c r="M90">
        <f>'📊 Datos Originales'!H90</f>
        <v/>
      </c>
      <c r="N90" s="6">
        <f>IF('📊 Datos Originales'!P90="muy_nuevo", '🎛️ PANEL DE CONTROL'!B20,
                            IF('📊 Datos Originales'!P90="nuevo", '🎛️ PANEL DE CONTROL'!B21,
                            IF('📊 Datos Originales'!P90="intermedio", '🎛️ PANEL DE CONTROL'!B22,
                            IF('📊 Datos Originales'!P90="establecido", '🎛️ PANEL DE CONTROL'!B23,
                            '🎛️ PANEL DE CONTROL'!B24))))</f>
        <v/>
      </c>
      <c r="O90" s="6">
        <f>1-N90</f>
        <v/>
      </c>
      <c r="P90">
        <f>(L90*N90)+(M90*O90)</f>
        <v/>
      </c>
      <c r="Q90">
        <f>IF(P90&gt;='🎛️ PANEL DE CONTROL'!B28, "A+",
                            IF(P90&gt;='🎛️ PANEL DE CONTROL'!B29, "A",
                            IF(P90&gt;='🎛️ PANEL DE CONTROL'!B30, "A-",
                            IF(P90&gt;='🎛️ PANEL DE CONTROL'!B31, "B+",
                            IF(P90&gt;='🎛️ PANEL DE CONTROL'!B32, "B",
                            IF(P90&gt;='🎛️ PANEL DE CONTROL'!B33, "B-",
                            IF(P90&gt;='🎛️ PANEL DE CONTROL'!B34, "C+",
                            IF(P90&gt;='🎛️ PANEL DE CONTROL'!B35, "C",
                            IF(P90&gt;='🎛️ PANEL DE CONTROL'!B36, "C-",
                            IF(P90&gt;='🎛️ PANEL DE CONTROL'!B37, "D", "F"))))))))))</f>
        <v/>
      </c>
      <c r="R90">
        <f>P90-'📊 Datos Originales'!I90</f>
        <v/>
      </c>
    </row>
    <row r="91">
      <c r="A91">
        <f>'📊 Datos Originales'!A91</f>
        <v/>
      </c>
      <c r="B91">
        <f>'📊 Datos Originales'!B91</f>
        <v/>
      </c>
      <c r="C91">
        <f>'📊 Datos Originales'!C91</f>
        <v/>
      </c>
      <c r="D91">
        <f>'📊 Datos Originales'!D91</f>
        <v/>
      </c>
      <c r="E91">
        <f>'📊 Datos Originales'!E91</f>
        <v/>
      </c>
      <c r="F91">
        <f>(C91/600)*'🎛️ PANEL DE CONTROL'!B6</f>
        <v/>
      </c>
      <c r="G91">
        <f>(D91/150)*'🎛️ PANEL DE CONTROL'!B7</f>
        <v/>
      </c>
      <c r="H91">
        <f>(E91/250)*'🎛️ PANEL DE CONTROL'!B8</f>
        <v/>
      </c>
      <c r="I91">
        <f>F91+G91+H91</f>
        <v/>
      </c>
      <c r="J91">
        <f>=IF('📊 Datos Originales'!L91&gt;30, '🎛️ PANEL DE CONTROL'!B13, 0)+=IF('📊 Datos Originales'!N91&gt;80, '🎛️ PANEL DE CONTROL'!B15, 0)</f>
        <v/>
      </c>
      <c r="K91">
        <f>=IF('📊 Datos Originales'!M91&lt;10, '🎛️ PANEL DE CONTROL'!B14, 0)+=IF('📊 Datos Originales'!O91&gt;24, '🎛️ PANEL DE CONTROL'!B16, 0)</f>
        <v/>
      </c>
      <c r="L91">
        <f>MAX(0, MIN(1000, I91-J91+K91))</f>
        <v/>
      </c>
      <c r="M91">
        <f>'📊 Datos Originales'!H91</f>
        <v/>
      </c>
      <c r="N91" s="6">
        <f>IF('📊 Datos Originales'!P91="muy_nuevo", '🎛️ PANEL DE CONTROL'!B20,
                            IF('📊 Datos Originales'!P91="nuevo", '🎛️ PANEL DE CONTROL'!B21,
                            IF('📊 Datos Originales'!P91="intermedio", '🎛️ PANEL DE CONTROL'!B22,
                            IF('📊 Datos Originales'!P91="establecido", '🎛️ PANEL DE CONTROL'!B23,
                            '🎛️ PANEL DE CONTROL'!B24))))</f>
        <v/>
      </c>
      <c r="O91" s="6">
        <f>1-N91</f>
        <v/>
      </c>
      <c r="P91">
        <f>(L91*N91)+(M91*O91)</f>
        <v/>
      </c>
      <c r="Q91">
        <f>IF(P91&gt;='🎛️ PANEL DE CONTROL'!B28, "A+",
                            IF(P91&gt;='🎛️ PANEL DE CONTROL'!B29, "A",
                            IF(P91&gt;='🎛️ PANEL DE CONTROL'!B30, "A-",
                            IF(P91&gt;='🎛️ PANEL DE CONTROL'!B31, "B+",
                            IF(P91&gt;='🎛️ PANEL DE CONTROL'!B32, "B",
                            IF(P91&gt;='🎛️ PANEL DE CONTROL'!B33, "B-",
                            IF(P91&gt;='🎛️ PANEL DE CONTROL'!B34, "C+",
                            IF(P91&gt;='🎛️ PANEL DE CONTROL'!B35, "C",
                            IF(P91&gt;='🎛️ PANEL DE CONTROL'!B36, "C-",
                            IF(P91&gt;='🎛️ PANEL DE CONTROL'!B37, "D", "F"))))))))))</f>
        <v/>
      </c>
      <c r="R91">
        <f>P91-'📊 Datos Originales'!I91</f>
        <v/>
      </c>
    </row>
    <row r="92">
      <c r="A92">
        <f>'📊 Datos Originales'!A92</f>
        <v/>
      </c>
      <c r="B92">
        <f>'📊 Datos Originales'!B92</f>
        <v/>
      </c>
      <c r="C92">
        <f>'📊 Datos Originales'!C92</f>
        <v/>
      </c>
      <c r="D92">
        <f>'📊 Datos Originales'!D92</f>
        <v/>
      </c>
      <c r="E92">
        <f>'📊 Datos Originales'!E92</f>
        <v/>
      </c>
      <c r="F92">
        <f>(C92/600)*'🎛️ PANEL DE CONTROL'!B6</f>
        <v/>
      </c>
      <c r="G92">
        <f>(D92/150)*'🎛️ PANEL DE CONTROL'!B7</f>
        <v/>
      </c>
      <c r="H92">
        <f>(E92/250)*'🎛️ PANEL DE CONTROL'!B8</f>
        <v/>
      </c>
      <c r="I92">
        <f>F92+G92+H92</f>
        <v/>
      </c>
      <c r="J92">
        <f>=IF('📊 Datos Originales'!L92&gt;30, '🎛️ PANEL DE CONTROL'!B13, 0)+=IF('📊 Datos Originales'!N92&gt;80, '🎛️ PANEL DE CONTROL'!B15, 0)</f>
        <v/>
      </c>
      <c r="K92">
        <f>=IF('📊 Datos Originales'!M92&lt;10, '🎛️ PANEL DE CONTROL'!B14, 0)+=IF('📊 Datos Originales'!O92&gt;24, '🎛️ PANEL DE CONTROL'!B16, 0)</f>
        <v/>
      </c>
      <c r="L92">
        <f>MAX(0, MIN(1000, I92-J92+K92))</f>
        <v/>
      </c>
      <c r="M92">
        <f>'📊 Datos Originales'!H92</f>
        <v/>
      </c>
      <c r="N92" s="6">
        <f>IF('📊 Datos Originales'!P92="muy_nuevo", '🎛️ PANEL DE CONTROL'!B20,
                            IF('📊 Datos Originales'!P92="nuevo", '🎛️ PANEL DE CONTROL'!B21,
                            IF('📊 Datos Originales'!P92="intermedio", '🎛️ PANEL DE CONTROL'!B22,
                            IF('📊 Datos Originales'!P92="establecido", '🎛️ PANEL DE CONTROL'!B23,
                            '🎛️ PANEL DE CONTROL'!B24))))</f>
        <v/>
      </c>
      <c r="O92" s="6">
        <f>1-N92</f>
        <v/>
      </c>
      <c r="P92">
        <f>(L92*N92)+(M92*O92)</f>
        <v/>
      </c>
      <c r="Q92">
        <f>IF(P92&gt;='🎛️ PANEL DE CONTROL'!B28, "A+",
                            IF(P92&gt;='🎛️ PANEL DE CONTROL'!B29, "A",
                            IF(P92&gt;='🎛️ PANEL DE CONTROL'!B30, "A-",
                            IF(P92&gt;='🎛️ PANEL DE CONTROL'!B31, "B+",
                            IF(P92&gt;='🎛️ PANEL DE CONTROL'!B32, "B",
                            IF(P92&gt;='🎛️ PANEL DE CONTROL'!B33, "B-",
                            IF(P92&gt;='🎛️ PANEL DE CONTROL'!B34, "C+",
                            IF(P92&gt;='🎛️ PANEL DE CONTROL'!B35, "C",
                            IF(P92&gt;='🎛️ PANEL DE CONTROL'!B36, "C-",
                            IF(P92&gt;='🎛️ PANEL DE CONTROL'!B37, "D", "F"))))))))))</f>
        <v/>
      </c>
      <c r="R92">
        <f>P92-'📊 Datos Originales'!I92</f>
        <v/>
      </c>
    </row>
    <row r="93">
      <c r="A93">
        <f>'📊 Datos Originales'!A93</f>
        <v/>
      </c>
      <c r="B93">
        <f>'📊 Datos Originales'!B93</f>
        <v/>
      </c>
      <c r="C93">
        <f>'📊 Datos Originales'!C93</f>
        <v/>
      </c>
      <c r="D93">
        <f>'📊 Datos Originales'!D93</f>
        <v/>
      </c>
      <c r="E93">
        <f>'📊 Datos Originales'!E93</f>
        <v/>
      </c>
      <c r="F93">
        <f>(C93/600)*'🎛️ PANEL DE CONTROL'!B6</f>
        <v/>
      </c>
      <c r="G93">
        <f>(D93/150)*'🎛️ PANEL DE CONTROL'!B7</f>
        <v/>
      </c>
      <c r="H93">
        <f>(E93/250)*'🎛️ PANEL DE CONTROL'!B8</f>
        <v/>
      </c>
      <c r="I93">
        <f>F93+G93+H93</f>
        <v/>
      </c>
      <c r="J93">
        <f>=IF('📊 Datos Originales'!L93&gt;30, '🎛️ PANEL DE CONTROL'!B13, 0)+=IF('📊 Datos Originales'!N93&gt;80, '🎛️ PANEL DE CONTROL'!B15, 0)</f>
        <v/>
      </c>
      <c r="K93">
        <f>=IF('📊 Datos Originales'!M93&lt;10, '🎛️ PANEL DE CONTROL'!B14, 0)+=IF('📊 Datos Originales'!O93&gt;24, '🎛️ PANEL DE CONTROL'!B16, 0)</f>
        <v/>
      </c>
      <c r="L93">
        <f>MAX(0, MIN(1000, I93-J93+K93))</f>
        <v/>
      </c>
      <c r="M93">
        <f>'📊 Datos Originales'!H93</f>
        <v/>
      </c>
      <c r="N93" s="6">
        <f>IF('📊 Datos Originales'!P93="muy_nuevo", '🎛️ PANEL DE CONTROL'!B20,
                            IF('📊 Datos Originales'!P93="nuevo", '🎛️ PANEL DE CONTROL'!B21,
                            IF('📊 Datos Originales'!P93="intermedio", '🎛️ PANEL DE CONTROL'!B22,
                            IF('📊 Datos Originales'!P93="establecido", '🎛️ PANEL DE CONTROL'!B23,
                            '🎛️ PANEL DE CONTROL'!B24))))</f>
        <v/>
      </c>
      <c r="O93" s="6">
        <f>1-N93</f>
        <v/>
      </c>
      <c r="P93">
        <f>(L93*N93)+(M93*O93)</f>
        <v/>
      </c>
      <c r="Q93">
        <f>IF(P93&gt;='🎛️ PANEL DE CONTROL'!B28, "A+",
                            IF(P93&gt;='🎛️ PANEL DE CONTROL'!B29, "A",
                            IF(P93&gt;='🎛️ PANEL DE CONTROL'!B30, "A-",
                            IF(P93&gt;='🎛️ PANEL DE CONTROL'!B31, "B+",
                            IF(P93&gt;='🎛️ PANEL DE CONTROL'!B32, "B",
                            IF(P93&gt;='🎛️ PANEL DE CONTROL'!B33, "B-",
                            IF(P93&gt;='🎛️ PANEL DE CONTROL'!B34, "C+",
                            IF(P93&gt;='🎛️ PANEL DE CONTROL'!B35, "C",
                            IF(P93&gt;='🎛️ PANEL DE CONTROL'!B36, "C-",
                            IF(P93&gt;='🎛️ PANEL DE CONTROL'!B37, "D", "F"))))))))))</f>
        <v/>
      </c>
      <c r="R93">
        <f>P93-'📊 Datos Originales'!I93</f>
        <v/>
      </c>
    </row>
    <row r="94">
      <c r="A94">
        <f>'📊 Datos Originales'!A94</f>
        <v/>
      </c>
      <c r="B94">
        <f>'📊 Datos Originales'!B94</f>
        <v/>
      </c>
      <c r="C94">
        <f>'📊 Datos Originales'!C94</f>
        <v/>
      </c>
      <c r="D94">
        <f>'📊 Datos Originales'!D94</f>
        <v/>
      </c>
      <c r="E94">
        <f>'📊 Datos Originales'!E94</f>
        <v/>
      </c>
      <c r="F94">
        <f>(C94/600)*'🎛️ PANEL DE CONTROL'!B6</f>
        <v/>
      </c>
      <c r="G94">
        <f>(D94/150)*'🎛️ PANEL DE CONTROL'!B7</f>
        <v/>
      </c>
      <c r="H94">
        <f>(E94/250)*'🎛️ PANEL DE CONTROL'!B8</f>
        <v/>
      </c>
      <c r="I94">
        <f>F94+G94+H94</f>
        <v/>
      </c>
      <c r="J94">
        <f>=IF('📊 Datos Originales'!L94&gt;30, '🎛️ PANEL DE CONTROL'!B13, 0)+=IF('📊 Datos Originales'!N94&gt;80, '🎛️ PANEL DE CONTROL'!B15, 0)</f>
        <v/>
      </c>
      <c r="K94">
        <f>=IF('📊 Datos Originales'!M94&lt;10, '🎛️ PANEL DE CONTROL'!B14, 0)+=IF('📊 Datos Originales'!O94&gt;24, '🎛️ PANEL DE CONTROL'!B16, 0)</f>
        <v/>
      </c>
      <c r="L94">
        <f>MAX(0, MIN(1000, I94-J94+K94))</f>
        <v/>
      </c>
      <c r="M94">
        <f>'📊 Datos Originales'!H94</f>
        <v/>
      </c>
      <c r="N94" s="6">
        <f>IF('📊 Datos Originales'!P94="muy_nuevo", '🎛️ PANEL DE CONTROL'!B20,
                            IF('📊 Datos Originales'!P94="nuevo", '🎛️ PANEL DE CONTROL'!B21,
                            IF('📊 Datos Originales'!P94="intermedio", '🎛️ PANEL DE CONTROL'!B22,
                            IF('📊 Datos Originales'!P94="establecido", '🎛️ PANEL DE CONTROL'!B23,
                            '🎛️ PANEL DE CONTROL'!B24))))</f>
        <v/>
      </c>
      <c r="O94" s="6">
        <f>1-N94</f>
        <v/>
      </c>
      <c r="P94">
        <f>(L94*N94)+(M94*O94)</f>
        <v/>
      </c>
      <c r="Q94">
        <f>IF(P94&gt;='🎛️ PANEL DE CONTROL'!B28, "A+",
                            IF(P94&gt;='🎛️ PANEL DE CONTROL'!B29, "A",
                            IF(P94&gt;='🎛️ PANEL DE CONTROL'!B30, "A-",
                            IF(P94&gt;='🎛️ PANEL DE CONTROL'!B31, "B+",
                            IF(P94&gt;='🎛️ PANEL DE CONTROL'!B32, "B",
                            IF(P94&gt;='🎛️ PANEL DE CONTROL'!B33, "B-",
                            IF(P94&gt;='🎛️ PANEL DE CONTROL'!B34, "C+",
                            IF(P94&gt;='🎛️ PANEL DE CONTROL'!B35, "C",
                            IF(P94&gt;='🎛️ PANEL DE CONTROL'!B36, "C-",
                            IF(P94&gt;='🎛️ PANEL DE CONTROL'!B37, "D", "F"))))))))))</f>
        <v/>
      </c>
      <c r="R94">
        <f>P94-'📊 Datos Originales'!I94</f>
        <v/>
      </c>
    </row>
    <row r="95">
      <c r="A95">
        <f>'📊 Datos Originales'!A95</f>
        <v/>
      </c>
      <c r="B95">
        <f>'📊 Datos Originales'!B95</f>
        <v/>
      </c>
      <c r="C95">
        <f>'📊 Datos Originales'!C95</f>
        <v/>
      </c>
      <c r="D95">
        <f>'📊 Datos Originales'!D95</f>
        <v/>
      </c>
      <c r="E95">
        <f>'📊 Datos Originales'!E95</f>
        <v/>
      </c>
      <c r="F95">
        <f>(C95/600)*'🎛️ PANEL DE CONTROL'!B6</f>
        <v/>
      </c>
      <c r="G95">
        <f>(D95/150)*'🎛️ PANEL DE CONTROL'!B7</f>
        <v/>
      </c>
      <c r="H95">
        <f>(E95/250)*'🎛️ PANEL DE CONTROL'!B8</f>
        <v/>
      </c>
      <c r="I95">
        <f>F95+G95+H95</f>
        <v/>
      </c>
      <c r="J95">
        <f>=IF('📊 Datos Originales'!L95&gt;30, '🎛️ PANEL DE CONTROL'!B13, 0)+=IF('📊 Datos Originales'!N95&gt;80, '🎛️ PANEL DE CONTROL'!B15, 0)</f>
        <v/>
      </c>
      <c r="K95">
        <f>=IF('📊 Datos Originales'!M95&lt;10, '🎛️ PANEL DE CONTROL'!B14, 0)+=IF('📊 Datos Originales'!O95&gt;24, '🎛️ PANEL DE CONTROL'!B16, 0)</f>
        <v/>
      </c>
      <c r="L95">
        <f>MAX(0, MIN(1000, I95-J95+K95))</f>
        <v/>
      </c>
      <c r="M95">
        <f>'📊 Datos Originales'!H95</f>
        <v/>
      </c>
      <c r="N95" s="6">
        <f>IF('📊 Datos Originales'!P95="muy_nuevo", '🎛️ PANEL DE CONTROL'!B20,
                            IF('📊 Datos Originales'!P95="nuevo", '🎛️ PANEL DE CONTROL'!B21,
                            IF('📊 Datos Originales'!P95="intermedio", '🎛️ PANEL DE CONTROL'!B22,
                            IF('📊 Datos Originales'!P95="establecido", '🎛️ PANEL DE CONTROL'!B23,
                            '🎛️ PANEL DE CONTROL'!B24))))</f>
        <v/>
      </c>
      <c r="O95" s="6">
        <f>1-N95</f>
        <v/>
      </c>
      <c r="P95">
        <f>(L95*N95)+(M95*O95)</f>
        <v/>
      </c>
      <c r="Q95">
        <f>IF(P95&gt;='🎛️ PANEL DE CONTROL'!B28, "A+",
                            IF(P95&gt;='🎛️ PANEL DE CONTROL'!B29, "A",
                            IF(P95&gt;='🎛️ PANEL DE CONTROL'!B30, "A-",
                            IF(P95&gt;='🎛️ PANEL DE CONTROL'!B31, "B+",
                            IF(P95&gt;='🎛️ PANEL DE CONTROL'!B32, "B",
                            IF(P95&gt;='🎛️ PANEL DE CONTROL'!B33, "B-",
                            IF(P95&gt;='🎛️ PANEL DE CONTROL'!B34, "C+",
                            IF(P95&gt;='🎛️ PANEL DE CONTROL'!B35, "C",
                            IF(P95&gt;='🎛️ PANEL DE CONTROL'!B36, "C-",
                            IF(P95&gt;='🎛️ PANEL DE CONTROL'!B37, "D", "F"))))))))))</f>
        <v/>
      </c>
      <c r="R95">
        <f>P95-'📊 Datos Originales'!I95</f>
        <v/>
      </c>
    </row>
    <row r="96">
      <c r="A96">
        <f>'📊 Datos Originales'!A96</f>
        <v/>
      </c>
      <c r="B96">
        <f>'📊 Datos Originales'!B96</f>
        <v/>
      </c>
      <c r="C96">
        <f>'📊 Datos Originales'!C96</f>
        <v/>
      </c>
      <c r="D96">
        <f>'📊 Datos Originales'!D96</f>
        <v/>
      </c>
      <c r="E96">
        <f>'📊 Datos Originales'!E96</f>
        <v/>
      </c>
      <c r="F96">
        <f>(C96/600)*'🎛️ PANEL DE CONTROL'!B6</f>
        <v/>
      </c>
      <c r="G96">
        <f>(D96/150)*'🎛️ PANEL DE CONTROL'!B7</f>
        <v/>
      </c>
      <c r="H96">
        <f>(E96/250)*'🎛️ PANEL DE CONTROL'!B8</f>
        <v/>
      </c>
      <c r="I96">
        <f>F96+G96+H96</f>
        <v/>
      </c>
      <c r="J96">
        <f>=IF('📊 Datos Originales'!L96&gt;30, '🎛️ PANEL DE CONTROL'!B13, 0)+=IF('📊 Datos Originales'!N96&gt;80, '🎛️ PANEL DE CONTROL'!B15, 0)</f>
        <v/>
      </c>
      <c r="K96">
        <f>=IF('📊 Datos Originales'!M96&lt;10, '🎛️ PANEL DE CONTROL'!B14, 0)+=IF('📊 Datos Originales'!O96&gt;24, '🎛️ PANEL DE CONTROL'!B16, 0)</f>
        <v/>
      </c>
      <c r="L96">
        <f>MAX(0, MIN(1000, I96-J96+K96))</f>
        <v/>
      </c>
      <c r="M96">
        <f>'📊 Datos Originales'!H96</f>
        <v/>
      </c>
      <c r="N96" s="6">
        <f>IF('📊 Datos Originales'!P96="muy_nuevo", '🎛️ PANEL DE CONTROL'!B20,
                            IF('📊 Datos Originales'!P96="nuevo", '🎛️ PANEL DE CONTROL'!B21,
                            IF('📊 Datos Originales'!P96="intermedio", '🎛️ PANEL DE CONTROL'!B22,
                            IF('📊 Datos Originales'!P96="establecido", '🎛️ PANEL DE CONTROL'!B23,
                            '🎛️ PANEL DE CONTROL'!B24))))</f>
        <v/>
      </c>
      <c r="O96" s="6">
        <f>1-N96</f>
        <v/>
      </c>
      <c r="P96">
        <f>(L96*N96)+(M96*O96)</f>
        <v/>
      </c>
      <c r="Q96">
        <f>IF(P96&gt;='🎛️ PANEL DE CONTROL'!B28, "A+",
                            IF(P96&gt;='🎛️ PANEL DE CONTROL'!B29, "A",
                            IF(P96&gt;='🎛️ PANEL DE CONTROL'!B30, "A-",
                            IF(P96&gt;='🎛️ PANEL DE CONTROL'!B31, "B+",
                            IF(P96&gt;='🎛️ PANEL DE CONTROL'!B32, "B",
                            IF(P96&gt;='🎛️ PANEL DE CONTROL'!B33, "B-",
                            IF(P96&gt;='🎛️ PANEL DE CONTROL'!B34, "C+",
                            IF(P96&gt;='🎛️ PANEL DE CONTROL'!B35, "C",
                            IF(P96&gt;='🎛️ PANEL DE CONTROL'!B36, "C-",
                            IF(P96&gt;='🎛️ PANEL DE CONTROL'!B37, "D", "F"))))))))))</f>
        <v/>
      </c>
      <c r="R96">
        <f>P96-'📊 Datos Originales'!I96</f>
        <v/>
      </c>
    </row>
    <row r="97">
      <c r="A97">
        <f>'📊 Datos Originales'!A97</f>
        <v/>
      </c>
      <c r="B97">
        <f>'📊 Datos Originales'!B97</f>
        <v/>
      </c>
      <c r="C97">
        <f>'📊 Datos Originales'!C97</f>
        <v/>
      </c>
      <c r="D97">
        <f>'📊 Datos Originales'!D97</f>
        <v/>
      </c>
      <c r="E97">
        <f>'📊 Datos Originales'!E97</f>
        <v/>
      </c>
      <c r="F97">
        <f>(C97/600)*'🎛️ PANEL DE CONTROL'!B6</f>
        <v/>
      </c>
      <c r="G97">
        <f>(D97/150)*'🎛️ PANEL DE CONTROL'!B7</f>
        <v/>
      </c>
      <c r="H97">
        <f>(E97/250)*'🎛️ PANEL DE CONTROL'!B8</f>
        <v/>
      </c>
      <c r="I97">
        <f>F97+G97+H97</f>
        <v/>
      </c>
      <c r="J97">
        <f>=IF('📊 Datos Originales'!L97&gt;30, '🎛️ PANEL DE CONTROL'!B13, 0)+=IF('📊 Datos Originales'!N97&gt;80, '🎛️ PANEL DE CONTROL'!B15, 0)</f>
        <v/>
      </c>
      <c r="K97">
        <f>=IF('📊 Datos Originales'!M97&lt;10, '🎛️ PANEL DE CONTROL'!B14, 0)+=IF('📊 Datos Originales'!O97&gt;24, '🎛️ PANEL DE CONTROL'!B16, 0)</f>
        <v/>
      </c>
      <c r="L97">
        <f>MAX(0, MIN(1000, I97-J97+K97))</f>
        <v/>
      </c>
      <c r="M97">
        <f>'📊 Datos Originales'!H97</f>
        <v/>
      </c>
      <c r="N97" s="6">
        <f>IF('📊 Datos Originales'!P97="muy_nuevo", '🎛️ PANEL DE CONTROL'!B20,
                            IF('📊 Datos Originales'!P97="nuevo", '🎛️ PANEL DE CONTROL'!B21,
                            IF('📊 Datos Originales'!P97="intermedio", '🎛️ PANEL DE CONTROL'!B22,
                            IF('📊 Datos Originales'!P97="establecido", '🎛️ PANEL DE CONTROL'!B23,
                            '🎛️ PANEL DE CONTROL'!B24))))</f>
        <v/>
      </c>
      <c r="O97" s="6">
        <f>1-N97</f>
        <v/>
      </c>
      <c r="P97">
        <f>(L97*N97)+(M97*O97)</f>
        <v/>
      </c>
      <c r="Q97">
        <f>IF(P97&gt;='🎛️ PANEL DE CONTROL'!B28, "A+",
                            IF(P97&gt;='🎛️ PANEL DE CONTROL'!B29, "A",
                            IF(P97&gt;='🎛️ PANEL DE CONTROL'!B30, "A-",
                            IF(P97&gt;='🎛️ PANEL DE CONTROL'!B31, "B+",
                            IF(P97&gt;='🎛️ PANEL DE CONTROL'!B32, "B",
                            IF(P97&gt;='🎛️ PANEL DE CONTROL'!B33, "B-",
                            IF(P97&gt;='🎛️ PANEL DE CONTROL'!B34, "C+",
                            IF(P97&gt;='🎛️ PANEL DE CONTROL'!B35, "C",
                            IF(P97&gt;='🎛️ PANEL DE CONTROL'!B36, "C-",
                            IF(P97&gt;='🎛️ PANEL DE CONTROL'!B37, "D", "F"))))))))))</f>
        <v/>
      </c>
      <c r="R97">
        <f>P97-'📊 Datos Originales'!I97</f>
        <v/>
      </c>
    </row>
    <row r="98">
      <c r="A98">
        <f>'📊 Datos Originales'!A98</f>
        <v/>
      </c>
      <c r="B98">
        <f>'📊 Datos Originales'!B98</f>
        <v/>
      </c>
      <c r="C98">
        <f>'📊 Datos Originales'!C98</f>
        <v/>
      </c>
      <c r="D98">
        <f>'📊 Datos Originales'!D98</f>
        <v/>
      </c>
      <c r="E98">
        <f>'📊 Datos Originales'!E98</f>
        <v/>
      </c>
      <c r="F98">
        <f>(C98/600)*'🎛️ PANEL DE CONTROL'!B6</f>
        <v/>
      </c>
      <c r="G98">
        <f>(D98/150)*'🎛️ PANEL DE CONTROL'!B7</f>
        <v/>
      </c>
      <c r="H98">
        <f>(E98/250)*'🎛️ PANEL DE CONTROL'!B8</f>
        <v/>
      </c>
      <c r="I98">
        <f>F98+G98+H98</f>
        <v/>
      </c>
      <c r="J98">
        <f>=IF('📊 Datos Originales'!L98&gt;30, '🎛️ PANEL DE CONTROL'!B13, 0)+=IF('📊 Datos Originales'!N98&gt;80, '🎛️ PANEL DE CONTROL'!B15, 0)</f>
        <v/>
      </c>
      <c r="K98">
        <f>=IF('📊 Datos Originales'!M98&lt;10, '🎛️ PANEL DE CONTROL'!B14, 0)+=IF('📊 Datos Originales'!O98&gt;24, '🎛️ PANEL DE CONTROL'!B16, 0)</f>
        <v/>
      </c>
      <c r="L98">
        <f>MAX(0, MIN(1000, I98-J98+K98))</f>
        <v/>
      </c>
      <c r="M98">
        <f>'📊 Datos Originales'!H98</f>
        <v/>
      </c>
      <c r="N98" s="6">
        <f>IF('📊 Datos Originales'!P98="muy_nuevo", '🎛️ PANEL DE CONTROL'!B20,
                            IF('📊 Datos Originales'!P98="nuevo", '🎛️ PANEL DE CONTROL'!B21,
                            IF('📊 Datos Originales'!P98="intermedio", '🎛️ PANEL DE CONTROL'!B22,
                            IF('📊 Datos Originales'!P98="establecido", '🎛️ PANEL DE CONTROL'!B23,
                            '🎛️ PANEL DE CONTROL'!B24))))</f>
        <v/>
      </c>
      <c r="O98" s="6">
        <f>1-N98</f>
        <v/>
      </c>
      <c r="P98">
        <f>(L98*N98)+(M98*O98)</f>
        <v/>
      </c>
      <c r="Q98">
        <f>IF(P98&gt;='🎛️ PANEL DE CONTROL'!B28, "A+",
                            IF(P98&gt;='🎛️ PANEL DE CONTROL'!B29, "A",
                            IF(P98&gt;='🎛️ PANEL DE CONTROL'!B30, "A-",
                            IF(P98&gt;='🎛️ PANEL DE CONTROL'!B31, "B+",
                            IF(P98&gt;='🎛️ PANEL DE CONTROL'!B32, "B",
                            IF(P98&gt;='🎛️ PANEL DE CONTROL'!B33, "B-",
                            IF(P98&gt;='🎛️ PANEL DE CONTROL'!B34, "C+",
                            IF(P98&gt;='🎛️ PANEL DE CONTROL'!B35, "C",
                            IF(P98&gt;='🎛️ PANEL DE CONTROL'!B36, "C-",
                            IF(P98&gt;='🎛️ PANEL DE CONTROL'!B37, "D", "F"))))))))))</f>
        <v/>
      </c>
      <c r="R98">
        <f>P98-'📊 Datos Originales'!I98</f>
        <v/>
      </c>
    </row>
    <row r="99">
      <c r="A99">
        <f>'📊 Datos Originales'!A99</f>
        <v/>
      </c>
      <c r="B99">
        <f>'📊 Datos Originales'!B99</f>
        <v/>
      </c>
      <c r="C99">
        <f>'📊 Datos Originales'!C99</f>
        <v/>
      </c>
      <c r="D99">
        <f>'📊 Datos Originales'!D99</f>
        <v/>
      </c>
      <c r="E99">
        <f>'📊 Datos Originales'!E99</f>
        <v/>
      </c>
      <c r="F99">
        <f>(C99/600)*'🎛️ PANEL DE CONTROL'!B6</f>
        <v/>
      </c>
      <c r="G99">
        <f>(D99/150)*'🎛️ PANEL DE CONTROL'!B7</f>
        <v/>
      </c>
      <c r="H99">
        <f>(E99/250)*'🎛️ PANEL DE CONTROL'!B8</f>
        <v/>
      </c>
      <c r="I99">
        <f>F99+G99+H99</f>
        <v/>
      </c>
      <c r="J99">
        <f>=IF('📊 Datos Originales'!L99&gt;30, '🎛️ PANEL DE CONTROL'!B13, 0)+=IF('📊 Datos Originales'!N99&gt;80, '🎛️ PANEL DE CONTROL'!B15, 0)</f>
        <v/>
      </c>
      <c r="K99">
        <f>=IF('📊 Datos Originales'!M99&lt;10, '🎛️ PANEL DE CONTROL'!B14, 0)+=IF('📊 Datos Originales'!O99&gt;24, '🎛️ PANEL DE CONTROL'!B16, 0)</f>
        <v/>
      </c>
      <c r="L99">
        <f>MAX(0, MIN(1000, I99-J99+K99))</f>
        <v/>
      </c>
      <c r="M99">
        <f>'📊 Datos Originales'!H99</f>
        <v/>
      </c>
      <c r="N99" s="6">
        <f>IF('📊 Datos Originales'!P99="muy_nuevo", '🎛️ PANEL DE CONTROL'!B20,
                            IF('📊 Datos Originales'!P99="nuevo", '🎛️ PANEL DE CONTROL'!B21,
                            IF('📊 Datos Originales'!P99="intermedio", '🎛️ PANEL DE CONTROL'!B22,
                            IF('📊 Datos Originales'!P99="establecido", '🎛️ PANEL DE CONTROL'!B23,
                            '🎛️ PANEL DE CONTROL'!B24))))</f>
        <v/>
      </c>
      <c r="O99" s="6">
        <f>1-N99</f>
        <v/>
      </c>
      <c r="P99">
        <f>(L99*N99)+(M99*O99)</f>
        <v/>
      </c>
      <c r="Q99">
        <f>IF(P99&gt;='🎛️ PANEL DE CONTROL'!B28, "A+",
                            IF(P99&gt;='🎛️ PANEL DE CONTROL'!B29, "A",
                            IF(P99&gt;='🎛️ PANEL DE CONTROL'!B30, "A-",
                            IF(P99&gt;='🎛️ PANEL DE CONTROL'!B31, "B+",
                            IF(P99&gt;='🎛️ PANEL DE CONTROL'!B32, "B",
                            IF(P99&gt;='🎛️ PANEL DE CONTROL'!B33, "B-",
                            IF(P99&gt;='🎛️ PANEL DE CONTROL'!B34, "C+",
                            IF(P99&gt;='🎛️ PANEL DE CONTROL'!B35, "C",
                            IF(P99&gt;='🎛️ PANEL DE CONTROL'!B36, "C-",
                            IF(P99&gt;='🎛️ PANEL DE CONTROL'!B37, "D", "F"))))))))))</f>
        <v/>
      </c>
      <c r="R99">
        <f>P99-'📊 Datos Originales'!I99</f>
        <v/>
      </c>
    </row>
    <row r="100">
      <c r="A100">
        <f>'📊 Datos Originales'!A100</f>
        <v/>
      </c>
      <c r="B100">
        <f>'📊 Datos Originales'!B100</f>
        <v/>
      </c>
      <c r="C100">
        <f>'📊 Datos Originales'!C100</f>
        <v/>
      </c>
      <c r="D100">
        <f>'📊 Datos Originales'!D100</f>
        <v/>
      </c>
      <c r="E100">
        <f>'📊 Datos Originales'!E100</f>
        <v/>
      </c>
      <c r="F100">
        <f>(C100/600)*'🎛️ PANEL DE CONTROL'!B6</f>
        <v/>
      </c>
      <c r="G100">
        <f>(D100/150)*'🎛️ PANEL DE CONTROL'!B7</f>
        <v/>
      </c>
      <c r="H100">
        <f>(E100/250)*'🎛️ PANEL DE CONTROL'!B8</f>
        <v/>
      </c>
      <c r="I100">
        <f>F100+G100+H100</f>
        <v/>
      </c>
      <c r="J100">
        <f>=IF('📊 Datos Originales'!L100&gt;30, '🎛️ PANEL DE CONTROL'!B13, 0)+=IF('📊 Datos Originales'!N100&gt;80, '🎛️ PANEL DE CONTROL'!B15, 0)</f>
        <v/>
      </c>
      <c r="K100">
        <f>=IF('📊 Datos Originales'!M100&lt;10, '🎛️ PANEL DE CONTROL'!B14, 0)+=IF('📊 Datos Originales'!O100&gt;24, '🎛️ PANEL DE CONTROL'!B16, 0)</f>
        <v/>
      </c>
      <c r="L100">
        <f>MAX(0, MIN(1000, I100-J100+K100))</f>
        <v/>
      </c>
      <c r="M100">
        <f>'📊 Datos Originales'!H100</f>
        <v/>
      </c>
      <c r="N100" s="6">
        <f>IF('📊 Datos Originales'!P100="muy_nuevo", '🎛️ PANEL DE CONTROL'!B20,
                            IF('📊 Datos Originales'!P100="nuevo", '🎛️ PANEL DE CONTROL'!B21,
                            IF('📊 Datos Originales'!P100="intermedio", '🎛️ PANEL DE CONTROL'!B22,
                            IF('📊 Datos Originales'!P100="establecido", '🎛️ PANEL DE CONTROL'!B23,
                            '🎛️ PANEL DE CONTROL'!B24))))</f>
        <v/>
      </c>
      <c r="O100" s="6">
        <f>1-N100</f>
        <v/>
      </c>
      <c r="P100">
        <f>(L100*N100)+(M100*O100)</f>
        <v/>
      </c>
      <c r="Q100">
        <f>IF(P100&gt;='🎛️ PANEL DE CONTROL'!B28, "A+",
                            IF(P100&gt;='🎛️ PANEL DE CONTROL'!B29, "A",
                            IF(P100&gt;='🎛️ PANEL DE CONTROL'!B30, "A-",
                            IF(P100&gt;='🎛️ PANEL DE CONTROL'!B31, "B+",
                            IF(P100&gt;='🎛️ PANEL DE CONTROL'!B32, "B",
                            IF(P100&gt;='🎛️ PANEL DE CONTROL'!B33, "B-",
                            IF(P100&gt;='🎛️ PANEL DE CONTROL'!B34, "C+",
                            IF(P100&gt;='🎛️ PANEL DE CONTROL'!B35, "C",
                            IF(P100&gt;='🎛️ PANEL DE CONTROL'!B36, "C-",
                            IF(P100&gt;='🎛️ PANEL DE CONTROL'!B37, "D", "F"))))))))))</f>
        <v/>
      </c>
      <c r="R100">
        <f>P100-'📊 Datos Originales'!I100</f>
        <v/>
      </c>
    </row>
    <row r="101">
      <c r="A101">
        <f>'📊 Datos Originales'!A101</f>
        <v/>
      </c>
      <c r="B101">
        <f>'📊 Datos Originales'!B101</f>
        <v/>
      </c>
      <c r="C101">
        <f>'📊 Datos Originales'!C101</f>
        <v/>
      </c>
      <c r="D101">
        <f>'📊 Datos Originales'!D101</f>
        <v/>
      </c>
      <c r="E101">
        <f>'📊 Datos Originales'!E101</f>
        <v/>
      </c>
      <c r="F101">
        <f>(C101/600)*'🎛️ PANEL DE CONTROL'!B6</f>
        <v/>
      </c>
      <c r="G101">
        <f>(D101/150)*'🎛️ PANEL DE CONTROL'!B7</f>
        <v/>
      </c>
      <c r="H101">
        <f>(E101/250)*'🎛️ PANEL DE CONTROL'!B8</f>
        <v/>
      </c>
      <c r="I101">
        <f>F101+G101+H101</f>
        <v/>
      </c>
      <c r="J101">
        <f>=IF('📊 Datos Originales'!L101&gt;30, '🎛️ PANEL DE CONTROL'!B13, 0)+=IF('📊 Datos Originales'!N101&gt;80, '🎛️ PANEL DE CONTROL'!B15, 0)</f>
        <v/>
      </c>
      <c r="K101">
        <f>=IF('📊 Datos Originales'!M101&lt;10, '🎛️ PANEL DE CONTROL'!B14, 0)+=IF('📊 Datos Originales'!O101&gt;24, '🎛️ PANEL DE CONTROL'!B16, 0)</f>
        <v/>
      </c>
      <c r="L101">
        <f>MAX(0, MIN(1000, I101-J101+K101))</f>
        <v/>
      </c>
      <c r="M101">
        <f>'📊 Datos Originales'!H101</f>
        <v/>
      </c>
      <c r="N101" s="6">
        <f>IF('📊 Datos Originales'!P101="muy_nuevo", '🎛️ PANEL DE CONTROL'!B20,
                            IF('📊 Datos Originales'!P101="nuevo", '🎛️ PANEL DE CONTROL'!B21,
                            IF('📊 Datos Originales'!P101="intermedio", '🎛️ PANEL DE CONTROL'!B22,
                            IF('📊 Datos Originales'!P101="establecido", '🎛️ PANEL DE CONTROL'!B23,
                            '🎛️ PANEL DE CONTROL'!B24))))</f>
        <v/>
      </c>
      <c r="O101" s="6">
        <f>1-N101</f>
        <v/>
      </c>
      <c r="P101">
        <f>(L101*N101)+(M101*O101)</f>
        <v/>
      </c>
      <c r="Q101">
        <f>IF(P101&gt;='🎛️ PANEL DE CONTROL'!B28, "A+",
                            IF(P101&gt;='🎛️ PANEL DE CONTROL'!B29, "A",
                            IF(P101&gt;='🎛️ PANEL DE CONTROL'!B30, "A-",
                            IF(P101&gt;='🎛️ PANEL DE CONTROL'!B31, "B+",
                            IF(P101&gt;='🎛️ PANEL DE CONTROL'!B32, "B",
                            IF(P101&gt;='🎛️ PANEL DE CONTROL'!B33, "B-",
                            IF(P101&gt;='🎛️ PANEL DE CONTROL'!B34, "C+",
                            IF(P101&gt;='🎛️ PANEL DE CONTROL'!B35, "C",
                            IF(P101&gt;='🎛️ PANEL DE CONTROL'!B36, "C-",
                            IF(P101&gt;='🎛️ PANEL DE CONTROL'!B37, "D", "F"))))))))))</f>
        <v/>
      </c>
      <c r="R101">
        <f>P101-'📊 Datos Originales'!I101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4" t="inlineStr">
        <is>
          <t>COMPARACIÓN: SCORES BASE vs SIMULADOS</t>
        </is>
      </c>
    </row>
    <row r="3">
      <c r="A3" s="15" t="inlineStr">
        <is>
          <t>Métrica</t>
        </is>
      </c>
      <c r="B3" s="15" t="inlineStr">
        <is>
          <t>Score Base</t>
        </is>
      </c>
      <c r="C3" s="15" t="inlineStr">
        <is>
          <t>Score Simulado</t>
        </is>
      </c>
      <c r="D3" s="15" t="inlineStr">
        <is>
          <t>Diferencia</t>
        </is>
      </c>
    </row>
    <row r="4">
      <c r="A4" t="inlineStr">
        <is>
          <t>Promedio</t>
        </is>
      </c>
      <c r="B4">
        <f>AVERAGE('📊 Datos Originales'!I:I)</f>
        <v/>
      </c>
      <c r="C4">
        <f>AVERAGE('🎯 Scores Simulados'!P:P)</f>
        <v/>
      </c>
      <c r="D4">
        <f>C4-B4</f>
        <v/>
      </c>
    </row>
    <row r="5">
      <c r="A5" t="inlineStr">
        <is>
          <t>Mediana</t>
        </is>
      </c>
      <c r="B5">
        <f>MEDIAN('📊 Datos Originales'!I:I)</f>
        <v/>
      </c>
      <c r="C5">
        <f>MEDIAN('🎯 Scores Simulados'!P:P)</f>
        <v/>
      </c>
      <c r="D5">
        <f>C5-B5</f>
        <v/>
      </c>
    </row>
    <row r="6">
      <c r="A6" t="inlineStr">
        <is>
          <t>Máximo</t>
        </is>
      </c>
      <c r="B6">
        <f>MAX('📊 Datos Originales'!I:I)</f>
        <v/>
      </c>
      <c r="C6">
        <f>MAX('🎯 Scores Simulados'!P:P)</f>
        <v/>
      </c>
      <c r="D6">
        <f>C6-B6</f>
        <v/>
      </c>
    </row>
    <row r="7">
      <c r="A7" t="inlineStr">
        <is>
          <t>Mínimo</t>
        </is>
      </c>
      <c r="B7">
        <f>MIN('📊 Datos Originales'!I:I)</f>
        <v/>
      </c>
      <c r="C7">
        <f>MIN('🎯 Scores Simulados'!P:P)</f>
        <v/>
      </c>
      <c r="D7">
        <f>C7-B7</f>
        <v/>
      </c>
    </row>
    <row r="8">
      <c r="A8" t="inlineStr">
        <is>
          <t>Desviación Estándar</t>
        </is>
      </c>
      <c r="B8">
        <f>STDEV('📊 Datos Originales'!I:I)</f>
        <v/>
      </c>
      <c r="C8">
        <f>STDEV('🎯 Scores Simulados'!P:P)</f>
        <v/>
      </c>
      <c r="D8">
        <f>C8-B8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2025-12-29T17:29:56Z</dcterms:created>
  <dcterms:modified xmlns:dcterms="http://purl.org/dc/terms/" xmlns:xsi="http://www.w3.org/2001/XMLSchema-instance" xsi:type="dcterms:W3CDTF">2025-12-29T17:29:56Z</dcterms:modified>
</cp:coreProperties>
</file>